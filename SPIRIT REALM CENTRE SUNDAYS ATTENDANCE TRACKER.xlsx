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19817845fa6201c/Desktop/SRC ATTENDANCE ADMIN/"/>
    </mc:Choice>
  </mc:AlternateContent>
  <xr:revisionPtr revIDLastSave="0" documentId="8_{9B3E18D5-75EC-4FD1-8EF7-E46FD14D9CE7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UNDAY ATTENDANCE" sheetId="1" r:id="rId1"/>
    <sheet name="GENERAL" sheetId="2" r:id="rId2"/>
    <sheet name="MUSIC" sheetId="3" r:id="rId3"/>
    <sheet name="USHERS" sheetId="4" r:id="rId4"/>
    <sheet name="MEDIA" sheetId="5" r:id="rId5"/>
    <sheet name="SECURITY" sheetId="6" r:id="rId6"/>
    <sheet name="PRAYER GROUP" sheetId="7" r:id="rId7"/>
    <sheet name="GODLY ACTION" sheetId="8" r:id="rId8"/>
    <sheet name="COUNSELLING " sheetId="9" r:id="rId9"/>
    <sheet name="SANCTUARY" sheetId="10" r:id="rId10"/>
    <sheet name="EWEKA" sheetId="11" r:id="rId11"/>
    <sheet name="ABSENT" sheetId="12" r:id="rId12"/>
    <sheet name="Sheet9" sheetId="13" r:id="rId13"/>
    <sheet name="Sheet10" sheetId="14" r:id="rId14"/>
  </sheets>
  <definedNames>
    <definedName name="Z_FF9796D3_35D6_411C_AB0F_D91E06C3E1E8_.wvu.FilterData" localSheetId="0" hidden="1">'SUNDAY ATTENDANCE'!$B$1:$E$557</definedName>
  </definedNames>
  <calcPr calcId="181029"/>
  <customWorkbookViews>
    <customWorkbookView name="Filter 2" guid="{FF9796D3-35D6-411C-AB0F-D91E06C3E1E8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Y64" i="8" l="1"/>
  <c r="W64" i="8"/>
  <c r="U64" i="8"/>
  <c r="S64" i="8"/>
  <c r="Q64" i="8"/>
  <c r="O64" i="8"/>
  <c r="M64" i="8"/>
  <c r="K64" i="8"/>
  <c r="I64" i="8"/>
  <c r="G64" i="8"/>
  <c r="Y61" i="8"/>
  <c r="W61" i="8"/>
  <c r="U61" i="8"/>
  <c r="S61" i="8"/>
  <c r="Q61" i="8"/>
  <c r="O61" i="8"/>
  <c r="M61" i="8"/>
  <c r="K61" i="8"/>
  <c r="I61" i="8"/>
  <c r="G61" i="8"/>
  <c r="Y58" i="8"/>
  <c r="W58" i="8"/>
  <c r="U58" i="8"/>
  <c r="S58" i="8"/>
  <c r="Q58" i="8"/>
  <c r="O58" i="8"/>
  <c r="M58" i="8"/>
  <c r="K58" i="8"/>
  <c r="I58" i="8"/>
  <c r="G58" i="8"/>
  <c r="Y55" i="8"/>
  <c r="W55" i="8"/>
  <c r="U55" i="8"/>
  <c r="S55" i="8"/>
  <c r="Q55" i="8"/>
  <c r="O55" i="8"/>
  <c r="M55" i="8"/>
  <c r="K55" i="8"/>
  <c r="I55" i="8"/>
  <c r="G55" i="8"/>
  <c r="Y52" i="8"/>
  <c r="W52" i="8"/>
  <c r="U52" i="8"/>
  <c r="S52" i="8"/>
  <c r="Q52" i="8"/>
  <c r="O52" i="8"/>
  <c r="M52" i="8"/>
  <c r="K52" i="8"/>
  <c r="I52" i="8"/>
  <c r="G52" i="8"/>
  <c r="Y49" i="8"/>
  <c r="W49" i="8"/>
  <c r="U49" i="8"/>
  <c r="S49" i="8"/>
  <c r="Q49" i="8"/>
  <c r="O49" i="8"/>
  <c r="M49" i="8"/>
  <c r="K49" i="8"/>
  <c r="I49" i="8"/>
  <c r="G49" i="8"/>
  <c r="Y46" i="8"/>
  <c r="W46" i="8"/>
  <c r="U46" i="8"/>
  <c r="S46" i="8"/>
  <c r="Q46" i="8"/>
  <c r="O46" i="8"/>
  <c r="M46" i="8"/>
  <c r="K46" i="8"/>
  <c r="I46" i="8"/>
  <c r="G46" i="8"/>
  <c r="Y43" i="8"/>
  <c r="W43" i="8"/>
  <c r="U43" i="8"/>
  <c r="S43" i="8"/>
  <c r="Q43" i="8"/>
  <c r="O43" i="8"/>
  <c r="M43" i="8"/>
  <c r="K43" i="8"/>
  <c r="I43" i="8"/>
  <c r="G43" i="8"/>
  <c r="Y40" i="8"/>
  <c r="W40" i="8"/>
  <c r="U40" i="8"/>
  <c r="S40" i="8"/>
  <c r="Q40" i="8"/>
  <c r="O40" i="8"/>
  <c r="M40" i="8"/>
  <c r="K40" i="8"/>
  <c r="I40" i="8"/>
  <c r="G40" i="8"/>
  <c r="Y37" i="8"/>
  <c r="W37" i="8"/>
  <c r="U37" i="8"/>
  <c r="S37" i="8"/>
  <c r="Q37" i="8"/>
  <c r="O37" i="8"/>
  <c r="M37" i="8"/>
  <c r="K37" i="8"/>
  <c r="I37" i="8"/>
  <c r="G37" i="8"/>
  <c r="Y34" i="8"/>
  <c r="W34" i="8"/>
  <c r="U34" i="8"/>
  <c r="S34" i="8"/>
  <c r="Q34" i="8"/>
  <c r="O34" i="8"/>
  <c r="M34" i="8"/>
  <c r="K34" i="8"/>
  <c r="I34" i="8"/>
  <c r="G34" i="8"/>
  <c r="Y31" i="8"/>
  <c r="W31" i="8"/>
  <c r="U31" i="8"/>
  <c r="S31" i="8"/>
  <c r="Q31" i="8"/>
  <c r="O31" i="8"/>
  <c r="M31" i="8"/>
  <c r="K31" i="8"/>
  <c r="I31" i="8"/>
  <c r="G31" i="8"/>
  <c r="Y28" i="8"/>
  <c r="W28" i="8"/>
  <c r="U28" i="8"/>
  <c r="S28" i="8"/>
  <c r="Q28" i="8"/>
  <c r="O28" i="8"/>
  <c r="M28" i="8"/>
  <c r="K28" i="8"/>
  <c r="I28" i="8"/>
  <c r="G28" i="8"/>
  <c r="Y25" i="8"/>
  <c r="W25" i="8"/>
  <c r="U25" i="8"/>
  <c r="S25" i="8"/>
  <c r="Q25" i="8"/>
  <c r="O25" i="8"/>
  <c r="M25" i="8"/>
  <c r="K25" i="8"/>
  <c r="I25" i="8"/>
  <c r="G25" i="8"/>
  <c r="Y22" i="8"/>
  <c r="W22" i="8"/>
  <c r="U22" i="8"/>
  <c r="S22" i="8"/>
  <c r="Q22" i="8"/>
  <c r="O22" i="8"/>
  <c r="M22" i="8"/>
  <c r="K22" i="8"/>
  <c r="I22" i="8"/>
  <c r="G22" i="8"/>
  <c r="Y19" i="8"/>
  <c r="W19" i="8"/>
  <c r="U19" i="8"/>
  <c r="S19" i="8"/>
  <c r="Q19" i="8"/>
  <c r="O19" i="8"/>
  <c r="M19" i="8"/>
  <c r="K19" i="8"/>
  <c r="I19" i="8"/>
  <c r="G19" i="8"/>
  <c r="Y16" i="8"/>
  <c r="W16" i="8"/>
  <c r="U16" i="8"/>
  <c r="S16" i="8"/>
  <c r="Q16" i="8"/>
  <c r="O16" i="8"/>
  <c r="M16" i="8"/>
  <c r="K16" i="8"/>
  <c r="I16" i="8"/>
  <c r="G16" i="8"/>
  <c r="Y13" i="8"/>
  <c r="W13" i="8"/>
  <c r="U13" i="8"/>
  <c r="S13" i="8"/>
  <c r="Q13" i="8"/>
  <c r="O13" i="8"/>
  <c r="M13" i="8"/>
  <c r="K13" i="8"/>
  <c r="I13" i="8"/>
  <c r="G13" i="8"/>
  <c r="Y10" i="8"/>
  <c r="W10" i="8"/>
  <c r="U10" i="8"/>
  <c r="S10" i="8"/>
  <c r="Q10" i="8"/>
  <c r="O10" i="8"/>
  <c r="M10" i="8"/>
  <c r="K10" i="8"/>
  <c r="I10" i="8"/>
  <c r="G10" i="8"/>
  <c r="Y31" i="7"/>
  <c r="W31" i="7"/>
  <c r="U31" i="7"/>
  <c r="S31" i="7"/>
  <c r="Q31" i="7"/>
  <c r="O31" i="7"/>
  <c r="M31" i="7"/>
  <c r="K31" i="7"/>
  <c r="I31" i="7"/>
  <c r="G31" i="7"/>
  <c r="Y28" i="7"/>
  <c r="W28" i="7"/>
  <c r="U28" i="7"/>
  <c r="S28" i="7"/>
  <c r="Q28" i="7"/>
  <c r="O28" i="7"/>
  <c r="M28" i="7"/>
  <c r="K28" i="7"/>
  <c r="I28" i="7"/>
  <c r="G28" i="7"/>
  <c r="Y25" i="7"/>
  <c r="W25" i="7"/>
  <c r="U25" i="7"/>
  <c r="S25" i="7"/>
  <c r="Q25" i="7"/>
  <c r="O25" i="7"/>
  <c r="M25" i="7"/>
  <c r="K25" i="7"/>
  <c r="I25" i="7"/>
  <c r="G25" i="7"/>
  <c r="Y22" i="7"/>
  <c r="W22" i="7"/>
  <c r="U22" i="7"/>
  <c r="S22" i="7"/>
  <c r="Q22" i="7"/>
  <c r="O22" i="7"/>
  <c r="M22" i="7"/>
  <c r="K22" i="7"/>
  <c r="I22" i="7"/>
  <c r="G22" i="7"/>
  <c r="Y19" i="7"/>
  <c r="W19" i="7"/>
  <c r="U19" i="7"/>
  <c r="S19" i="7"/>
  <c r="Q19" i="7"/>
  <c r="O19" i="7"/>
  <c r="M19" i="7"/>
  <c r="K19" i="7"/>
  <c r="I19" i="7"/>
  <c r="G19" i="7"/>
  <c r="Y16" i="7"/>
  <c r="W16" i="7"/>
  <c r="U16" i="7"/>
  <c r="S16" i="7"/>
  <c r="Q16" i="7"/>
  <c r="O16" i="7"/>
  <c r="M16" i="7"/>
  <c r="K16" i="7"/>
  <c r="I16" i="7"/>
  <c r="G16" i="7"/>
  <c r="Y13" i="7"/>
  <c r="W13" i="7"/>
  <c r="U13" i="7"/>
  <c r="S13" i="7"/>
  <c r="Q13" i="7"/>
  <c r="O13" i="7"/>
  <c r="M13" i="7"/>
  <c r="K13" i="7"/>
  <c r="I13" i="7"/>
  <c r="G13" i="7"/>
  <c r="Y10" i="7"/>
  <c r="W10" i="7"/>
  <c r="U10" i="7"/>
  <c r="S10" i="7"/>
  <c r="Q10" i="7"/>
  <c r="O10" i="7"/>
  <c r="M10" i="7"/>
  <c r="K10" i="7"/>
  <c r="I10" i="7"/>
  <c r="G10" i="7"/>
  <c r="Y25" i="6"/>
  <c r="W25" i="6"/>
  <c r="U25" i="6"/>
  <c r="S25" i="6"/>
  <c r="Q25" i="6"/>
  <c r="O25" i="6"/>
  <c r="M25" i="6"/>
  <c r="K25" i="6"/>
  <c r="I25" i="6"/>
  <c r="G25" i="6"/>
  <c r="Y22" i="6"/>
  <c r="W22" i="6"/>
  <c r="U22" i="6"/>
  <c r="S22" i="6"/>
  <c r="Q22" i="6"/>
  <c r="O22" i="6"/>
  <c r="M22" i="6"/>
  <c r="K22" i="6"/>
  <c r="I22" i="6"/>
  <c r="G22" i="6"/>
  <c r="Y19" i="6"/>
  <c r="W19" i="6"/>
  <c r="U19" i="6"/>
  <c r="S19" i="6"/>
  <c r="Q19" i="6"/>
  <c r="O19" i="6"/>
  <c r="M19" i="6"/>
  <c r="K19" i="6"/>
  <c r="I19" i="6"/>
  <c r="G19" i="6"/>
  <c r="Y16" i="6"/>
  <c r="W16" i="6"/>
  <c r="U16" i="6"/>
  <c r="S16" i="6"/>
  <c r="Q16" i="6"/>
  <c r="O16" i="6"/>
  <c r="M16" i="6"/>
  <c r="K16" i="6"/>
  <c r="I16" i="6"/>
  <c r="G16" i="6"/>
  <c r="Y13" i="6"/>
  <c r="W13" i="6"/>
  <c r="U13" i="6"/>
  <c r="S13" i="6"/>
  <c r="Q13" i="6"/>
  <c r="O13" i="6"/>
  <c r="M13" i="6"/>
  <c r="K13" i="6"/>
  <c r="I13" i="6"/>
  <c r="G13" i="6"/>
  <c r="Y10" i="6"/>
  <c r="W10" i="6"/>
  <c r="U10" i="6"/>
  <c r="S10" i="6"/>
  <c r="Q10" i="6"/>
  <c r="O10" i="6"/>
  <c r="M10" i="6"/>
  <c r="K10" i="6"/>
  <c r="I10" i="6"/>
  <c r="G10" i="6"/>
  <c r="Y22" i="5"/>
  <c r="W22" i="5"/>
  <c r="U22" i="5"/>
  <c r="S22" i="5"/>
  <c r="Q22" i="5"/>
  <c r="O22" i="5"/>
  <c r="M22" i="5"/>
  <c r="K22" i="5"/>
  <c r="I22" i="5"/>
  <c r="G22" i="5"/>
  <c r="Y19" i="5"/>
  <c r="W19" i="5"/>
  <c r="U19" i="5"/>
  <c r="S19" i="5"/>
  <c r="Q19" i="5"/>
  <c r="O19" i="5"/>
  <c r="M19" i="5"/>
  <c r="K19" i="5"/>
  <c r="I19" i="5"/>
  <c r="G19" i="5"/>
  <c r="Y16" i="5"/>
  <c r="W16" i="5"/>
  <c r="U16" i="5"/>
  <c r="S16" i="5"/>
  <c r="Q16" i="5"/>
  <c r="O16" i="5"/>
  <c r="M16" i="5"/>
  <c r="K16" i="5"/>
  <c r="I16" i="5"/>
  <c r="G16" i="5"/>
  <c r="Y13" i="5"/>
  <c r="W13" i="5"/>
  <c r="U13" i="5"/>
  <c r="S13" i="5"/>
  <c r="Q13" i="5"/>
  <c r="O13" i="5"/>
  <c r="M13" i="5"/>
  <c r="K13" i="5"/>
  <c r="I13" i="5"/>
  <c r="G13" i="5"/>
  <c r="Y10" i="5"/>
  <c r="W10" i="5"/>
  <c r="U10" i="5"/>
  <c r="S10" i="5"/>
  <c r="Q10" i="5"/>
  <c r="O10" i="5"/>
  <c r="M10" i="5"/>
  <c r="K10" i="5"/>
  <c r="I10" i="5"/>
  <c r="G10" i="5"/>
  <c r="Y49" i="4"/>
  <c r="W49" i="4"/>
  <c r="U49" i="4"/>
  <c r="S49" i="4"/>
  <c r="Q49" i="4"/>
  <c r="O49" i="4"/>
  <c r="M49" i="4"/>
  <c r="K49" i="4"/>
  <c r="I49" i="4"/>
  <c r="G49" i="4"/>
  <c r="Y46" i="4"/>
  <c r="W46" i="4"/>
  <c r="U46" i="4"/>
  <c r="S46" i="4"/>
  <c r="Q46" i="4"/>
  <c r="O46" i="4"/>
  <c r="M46" i="4"/>
  <c r="K46" i="4"/>
  <c r="I46" i="4"/>
  <c r="G46" i="4"/>
  <c r="Y43" i="4"/>
  <c r="W43" i="4"/>
  <c r="U43" i="4"/>
  <c r="S43" i="4"/>
  <c r="Q43" i="4"/>
  <c r="O43" i="4"/>
  <c r="M43" i="4"/>
  <c r="K43" i="4"/>
  <c r="I43" i="4"/>
  <c r="G43" i="4"/>
  <c r="Y40" i="4"/>
  <c r="W40" i="4"/>
  <c r="U40" i="4"/>
  <c r="S40" i="4"/>
  <c r="Q40" i="4"/>
  <c r="O40" i="4"/>
  <c r="M40" i="4"/>
  <c r="K40" i="4"/>
  <c r="I40" i="4"/>
  <c r="G40" i="4"/>
  <c r="Y37" i="4"/>
  <c r="W37" i="4"/>
  <c r="U37" i="4"/>
  <c r="S37" i="4"/>
  <c r="Q37" i="4"/>
  <c r="O37" i="4"/>
  <c r="M37" i="4"/>
  <c r="K37" i="4"/>
  <c r="I37" i="4"/>
  <c r="G37" i="4"/>
  <c r="Y34" i="4"/>
  <c r="W34" i="4"/>
  <c r="U34" i="4"/>
  <c r="S34" i="4"/>
  <c r="Q34" i="4"/>
  <c r="O34" i="4"/>
  <c r="M34" i="4"/>
  <c r="K34" i="4"/>
  <c r="I34" i="4"/>
  <c r="G34" i="4"/>
  <c r="Y31" i="4"/>
  <c r="W31" i="4"/>
  <c r="U31" i="4"/>
  <c r="S31" i="4"/>
  <c r="Q31" i="4"/>
  <c r="O31" i="4"/>
  <c r="M31" i="4"/>
  <c r="K31" i="4"/>
  <c r="I31" i="4"/>
  <c r="G31" i="4"/>
  <c r="Y28" i="4"/>
  <c r="W28" i="4"/>
  <c r="U28" i="4"/>
  <c r="S28" i="4"/>
  <c r="Q28" i="4"/>
  <c r="O28" i="4"/>
  <c r="M28" i="4"/>
  <c r="K28" i="4"/>
  <c r="I28" i="4"/>
  <c r="G28" i="4"/>
  <c r="Y25" i="4"/>
  <c r="W25" i="4"/>
  <c r="U25" i="4"/>
  <c r="S25" i="4"/>
  <c r="Q25" i="4"/>
  <c r="O25" i="4"/>
  <c r="M25" i="4"/>
  <c r="K25" i="4"/>
  <c r="I25" i="4"/>
  <c r="G25" i="4"/>
  <c r="Y22" i="4"/>
  <c r="W22" i="4"/>
  <c r="U22" i="4"/>
  <c r="S22" i="4"/>
  <c r="Q22" i="4"/>
  <c r="O22" i="4"/>
  <c r="M22" i="4"/>
  <c r="K22" i="4"/>
  <c r="I22" i="4"/>
  <c r="G22" i="4"/>
  <c r="Y19" i="4"/>
  <c r="W19" i="4"/>
  <c r="U19" i="4"/>
  <c r="S19" i="4"/>
  <c r="Q19" i="4"/>
  <c r="O19" i="4"/>
  <c r="M19" i="4"/>
  <c r="K19" i="4"/>
  <c r="I19" i="4"/>
  <c r="G19" i="4"/>
  <c r="Y16" i="4"/>
  <c r="W16" i="4"/>
  <c r="U16" i="4"/>
  <c r="S16" i="4"/>
  <c r="Q16" i="4"/>
  <c r="O16" i="4"/>
  <c r="M16" i="4"/>
  <c r="K16" i="4"/>
  <c r="I16" i="4"/>
  <c r="G16" i="4"/>
  <c r="Y13" i="4"/>
  <c r="W13" i="4"/>
  <c r="U13" i="4"/>
  <c r="S13" i="4"/>
  <c r="Q13" i="4"/>
  <c r="O13" i="4"/>
  <c r="M13" i="4"/>
  <c r="K13" i="4"/>
  <c r="I13" i="4"/>
  <c r="G13" i="4"/>
  <c r="Y10" i="4"/>
  <c r="W10" i="4"/>
  <c r="U10" i="4"/>
  <c r="S10" i="4"/>
  <c r="Q10" i="4"/>
  <c r="O10" i="4"/>
  <c r="M10" i="4"/>
  <c r="K10" i="4"/>
  <c r="I10" i="4"/>
  <c r="G10" i="4"/>
  <c r="Y52" i="3"/>
  <c r="W52" i="3"/>
  <c r="U52" i="3"/>
  <c r="S52" i="3"/>
  <c r="Q52" i="3"/>
  <c r="O52" i="3"/>
  <c r="M52" i="3"/>
  <c r="K52" i="3"/>
  <c r="I52" i="3"/>
  <c r="G52" i="3"/>
  <c r="Y49" i="3"/>
  <c r="W49" i="3"/>
  <c r="U49" i="3"/>
  <c r="S49" i="3"/>
  <c r="Q49" i="3"/>
  <c r="O49" i="3"/>
  <c r="M49" i="3"/>
  <c r="K49" i="3"/>
  <c r="I49" i="3"/>
  <c r="G49" i="3"/>
  <c r="Y46" i="3"/>
  <c r="W46" i="3"/>
  <c r="U46" i="3"/>
  <c r="S46" i="3"/>
  <c r="Q46" i="3"/>
  <c r="O46" i="3"/>
  <c r="M46" i="3"/>
  <c r="K46" i="3"/>
  <c r="I46" i="3"/>
  <c r="G46" i="3"/>
  <c r="Y43" i="3"/>
  <c r="W43" i="3"/>
  <c r="U43" i="3"/>
  <c r="S43" i="3"/>
  <c r="Q43" i="3"/>
  <c r="O43" i="3"/>
  <c r="M43" i="3"/>
  <c r="K43" i="3"/>
  <c r="I43" i="3"/>
  <c r="G43" i="3"/>
  <c r="Y40" i="3"/>
  <c r="W40" i="3"/>
  <c r="U40" i="3"/>
  <c r="S40" i="3"/>
  <c r="Q40" i="3"/>
  <c r="O40" i="3"/>
  <c r="M40" i="3"/>
  <c r="K40" i="3"/>
  <c r="I40" i="3"/>
  <c r="G40" i="3"/>
  <c r="Y37" i="3"/>
  <c r="W37" i="3"/>
  <c r="U37" i="3"/>
  <c r="S37" i="3"/>
  <c r="Q37" i="3"/>
  <c r="O37" i="3"/>
  <c r="M37" i="3"/>
  <c r="K37" i="3"/>
  <c r="I37" i="3"/>
  <c r="G37" i="3"/>
  <c r="Y34" i="3"/>
  <c r="W34" i="3"/>
  <c r="U34" i="3"/>
  <c r="S34" i="3"/>
  <c r="Q34" i="3"/>
  <c r="O34" i="3"/>
  <c r="M34" i="3"/>
  <c r="K34" i="3"/>
  <c r="I34" i="3"/>
  <c r="G34" i="3"/>
  <c r="Y31" i="3"/>
  <c r="W31" i="3"/>
  <c r="U31" i="3"/>
  <c r="S31" i="3"/>
  <c r="Q31" i="3"/>
  <c r="O31" i="3"/>
  <c r="M31" i="3"/>
  <c r="K31" i="3"/>
  <c r="I31" i="3"/>
  <c r="G31" i="3"/>
  <c r="Y28" i="3"/>
  <c r="W28" i="3"/>
  <c r="U28" i="3"/>
  <c r="S28" i="3"/>
  <c r="Q28" i="3"/>
  <c r="O28" i="3"/>
  <c r="M28" i="3"/>
  <c r="K28" i="3"/>
  <c r="I28" i="3"/>
  <c r="G28" i="3"/>
  <c r="Y25" i="3"/>
  <c r="W25" i="3"/>
  <c r="U25" i="3"/>
  <c r="S25" i="3"/>
  <c r="Q25" i="3"/>
  <c r="O25" i="3"/>
  <c r="M25" i="3"/>
  <c r="K25" i="3"/>
  <c r="I25" i="3"/>
  <c r="G25" i="3"/>
  <c r="Y22" i="3"/>
  <c r="W22" i="3"/>
  <c r="U22" i="3"/>
  <c r="S22" i="3"/>
  <c r="Q22" i="3"/>
  <c r="O22" i="3"/>
  <c r="M22" i="3"/>
  <c r="K22" i="3"/>
  <c r="I22" i="3"/>
  <c r="G22" i="3"/>
  <c r="Y19" i="3"/>
  <c r="W19" i="3"/>
  <c r="U19" i="3"/>
  <c r="S19" i="3"/>
  <c r="Q19" i="3"/>
  <c r="O19" i="3"/>
  <c r="M19" i="3"/>
  <c r="K19" i="3"/>
  <c r="I19" i="3"/>
  <c r="G19" i="3"/>
  <c r="Y16" i="3"/>
  <c r="W16" i="3"/>
  <c r="U16" i="3"/>
  <c r="S16" i="3"/>
  <c r="Q16" i="3"/>
  <c r="O16" i="3"/>
  <c r="M16" i="3"/>
  <c r="K16" i="3"/>
  <c r="I16" i="3"/>
  <c r="G16" i="3"/>
  <c r="Y13" i="3"/>
  <c r="W13" i="3"/>
  <c r="U13" i="3"/>
  <c r="S13" i="3"/>
  <c r="Q13" i="3"/>
  <c r="O13" i="3"/>
  <c r="M13" i="3"/>
  <c r="K13" i="3"/>
  <c r="I13" i="3"/>
  <c r="G13" i="3"/>
  <c r="Y10" i="3"/>
  <c r="W10" i="3"/>
  <c r="U10" i="3"/>
  <c r="S10" i="3"/>
  <c r="Q10" i="3"/>
  <c r="O10" i="3"/>
  <c r="M10" i="3"/>
  <c r="K10" i="3"/>
  <c r="I10" i="3"/>
  <c r="G10" i="3"/>
  <c r="Y709" i="2"/>
  <c r="W709" i="2"/>
  <c r="U709" i="2"/>
  <c r="S709" i="2"/>
  <c r="Q709" i="2"/>
  <c r="O709" i="2"/>
  <c r="M709" i="2"/>
  <c r="K709" i="2"/>
  <c r="I709" i="2"/>
  <c r="G709" i="2"/>
  <c r="Y706" i="2"/>
  <c r="W706" i="2"/>
  <c r="U706" i="2"/>
  <c r="S706" i="2"/>
  <c r="Q706" i="2"/>
  <c r="O706" i="2"/>
  <c r="M706" i="2"/>
  <c r="K706" i="2"/>
  <c r="I706" i="2"/>
  <c r="G706" i="2"/>
  <c r="Y703" i="2"/>
  <c r="W703" i="2"/>
  <c r="U703" i="2"/>
  <c r="S703" i="2"/>
  <c r="Q703" i="2"/>
  <c r="O703" i="2"/>
  <c r="M703" i="2"/>
  <c r="K703" i="2"/>
  <c r="I703" i="2"/>
  <c r="G703" i="2"/>
  <c r="Y700" i="2"/>
  <c r="W700" i="2"/>
  <c r="U700" i="2"/>
  <c r="S700" i="2"/>
  <c r="Q700" i="2"/>
  <c r="O700" i="2"/>
  <c r="M700" i="2"/>
  <c r="K700" i="2"/>
  <c r="I700" i="2"/>
  <c r="G700" i="2"/>
  <c r="Y697" i="2"/>
  <c r="W697" i="2"/>
  <c r="U697" i="2"/>
  <c r="S697" i="2"/>
  <c r="Q697" i="2"/>
  <c r="O697" i="2"/>
  <c r="M697" i="2"/>
  <c r="K697" i="2"/>
  <c r="I697" i="2"/>
  <c r="G697" i="2"/>
  <c r="Y694" i="2"/>
  <c r="W694" i="2"/>
  <c r="U694" i="2"/>
  <c r="S694" i="2"/>
  <c r="Q694" i="2"/>
  <c r="O694" i="2"/>
  <c r="M694" i="2"/>
  <c r="K694" i="2"/>
  <c r="I694" i="2"/>
  <c r="G694" i="2"/>
  <c r="Y691" i="2"/>
  <c r="W691" i="2"/>
  <c r="U691" i="2"/>
  <c r="S691" i="2"/>
  <c r="Q691" i="2"/>
  <c r="O691" i="2"/>
  <c r="M691" i="2"/>
  <c r="K691" i="2"/>
  <c r="I691" i="2"/>
  <c r="G691" i="2"/>
  <c r="Y688" i="2"/>
  <c r="W688" i="2"/>
  <c r="U688" i="2"/>
  <c r="S688" i="2"/>
  <c r="Q688" i="2"/>
  <c r="O688" i="2"/>
  <c r="M688" i="2"/>
  <c r="K688" i="2"/>
  <c r="I688" i="2"/>
  <c r="G688" i="2"/>
  <c r="Y685" i="2"/>
  <c r="W685" i="2"/>
  <c r="U685" i="2"/>
  <c r="S685" i="2"/>
  <c r="Q685" i="2"/>
  <c r="O685" i="2"/>
  <c r="M685" i="2"/>
  <c r="K685" i="2"/>
  <c r="I685" i="2"/>
  <c r="G685" i="2"/>
  <c r="Y682" i="2"/>
  <c r="W682" i="2"/>
  <c r="U682" i="2"/>
  <c r="S682" i="2"/>
  <c r="Q682" i="2"/>
  <c r="O682" i="2"/>
  <c r="M682" i="2"/>
  <c r="K682" i="2"/>
  <c r="I682" i="2"/>
  <c r="G682" i="2"/>
  <c r="Y679" i="2"/>
  <c r="W679" i="2"/>
  <c r="U679" i="2"/>
  <c r="S679" i="2"/>
  <c r="Q679" i="2"/>
  <c r="O679" i="2"/>
  <c r="M679" i="2"/>
  <c r="K679" i="2"/>
  <c r="I679" i="2"/>
  <c r="G679" i="2"/>
  <c r="Y676" i="2"/>
  <c r="W676" i="2"/>
  <c r="U676" i="2"/>
  <c r="S676" i="2"/>
  <c r="Q676" i="2"/>
  <c r="O676" i="2"/>
  <c r="M676" i="2"/>
  <c r="K676" i="2"/>
  <c r="I676" i="2"/>
  <c r="G676" i="2"/>
  <c r="Y673" i="2"/>
  <c r="W673" i="2"/>
  <c r="U673" i="2"/>
  <c r="S673" i="2"/>
  <c r="Q673" i="2"/>
  <c r="O673" i="2"/>
  <c r="M673" i="2"/>
  <c r="K673" i="2"/>
  <c r="I673" i="2"/>
  <c r="G673" i="2"/>
  <c r="Y670" i="2"/>
  <c r="W670" i="2"/>
  <c r="U670" i="2"/>
  <c r="S670" i="2"/>
  <c r="Q670" i="2"/>
  <c r="O670" i="2"/>
  <c r="M670" i="2"/>
  <c r="K670" i="2"/>
  <c r="I670" i="2"/>
  <c r="G670" i="2"/>
  <c r="Y667" i="2"/>
  <c r="W667" i="2"/>
  <c r="U667" i="2"/>
  <c r="S667" i="2"/>
  <c r="Q667" i="2"/>
  <c r="O667" i="2"/>
  <c r="M667" i="2"/>
  <c r="K667" i="2"/>
  <c r="I667" i="2"/>
  <c r="G667" i="2"/>
  <c r="Y664" i="2"/>
  <c r="W664" i="2"/>
  <c r="U664" i="2"/>
  <c r="S664" i="2"/>
  <c r="Q664" i="2"/>
  <c r="O664" i="2"/>
  <c r="M664" i="2"/>
  <c r="K664" i="2"/>
  <c r="I664" i="2"/>
  <c r="G664" i="2"/>
  <c r="Y661" i="2"/>
  <c r="W661" i="2"/>
  <c r="U661" i="2"/>
  <c r="S661" i="2"/>
  <c r="Q661" i="2"/>
  <c r="O661" i="2"/>
  <c r="M661" i="2"/>
  <c r="K661" i="2"/>
  <c r="I661" i="2"/>
  <c r="G661" i="2"/>
  <c r="Y658" i="2"/>
  <c r="W658" i="2"/>
  <c r="U658" i="2"/>
  <c r="S658" i="2"/>
  <c r="Q658" i="2"/>
  <c r="O658" i="2"/>
  <c r="M658" i="2"/>
  <c r="K658" i="2"/>
  <c r="I658" i="2"/>
  <c r="G658" i="2"/>
  <c r="Y655" i="2"/>
  <c r="W655" i="2"/>
  <c r="U655" i="2"/>
  <c r="S655" i="2"/>
  <c r="Q655" i="2"/>
  <c r="O655" i="2"/>
  <c r="M655" i="2"/>
  <c r="K655" i="2"/>
  <c r="I655" i="2"/>
  <c r="G655" i="2"/>
  <c r="Y652" i="2"/>
  <c r="W652" i="2"/>
  <c r="U652" i="2"/>
  <c r="S652" i="2"/>
  <c r="Q652" i="2"/>
  <c r="O652" i="2"/>
  <c r="M652" i="2"/>
  <c r="K652" i="2"/>
  <c r="I652" i="2"/>
  <c r="G652" i="2"/>
  <c r="Y649" i="2"/>
  <c r="W649" i="2"/>
  <c r="U649" i="2"/>
  <c r="S649" i="2"/>
  <c r="Q649" i="2"/>
  <c r="O649" i="2"/>
  <c r="M649" i="2"/>
  <c r="K649" i="2"/>
  <c r="I649" i="2"/>
  <c r="G649" i="2"/>
  <c r="Y646" i="2"/>
  <c r="W646" i="2"/>
  <c r="U646" i="2"/>
  <c r="S646" i="2"/>
  <c r="Q646" i="2"/>
  <c r="O646" i="2"/>
  <c r="M646" i="2"/>
  <c r="K646" i="2"/>
  <c r="I646" i="2"/>
  <c r="G646" i="2"/>
  <c r="Y643" i="2"/>
  <c r="W643" i="2"/>
  <c r="U643" i="2"/>
  <c r="S643" i="2"/>
  <c r="Q643" i="2"/>
  <c r="O643" i="2"/>
  <c r="M643" i="2"/>
  <c r="K643" i="2"/>
  <c r="I643" i="2"/>
  <c r="G643" i="2"/>
  <c r="Y640" i="2"/>
  <c r="W640" i="2"/>
  <c r="U640" i="2"/>
  <c r="S640" i="2"/>
  <c r="Q640" i="2"/>
  <c r="O640" i="2"/>
  <c r="M640" i="2"/>
  <c r="K640" i="2"/>
  <c r="I640" i="2"/>
  <c r="G640" i="2"/>
  <c r="Y637" i="2"/>
  <c r="W637" i="2"/>
  <c r="U637" i="2"/>
  <c r="S637" i="2"/>
  <c r="Q637" i="2"/>
  <c r="O637" i="2"/>
  <c r="M637" i="2"/>
  <c r="K637" i="2"/>
  <c r="I637" i="2"/>
  <c r="G637" i="2"/>
  <c r="Y634" i="2"/>
  <c r="W634" i="2"/>
  <c r="U634" i="2"/>
  <c r="S634" i="2"/>
  <c r="Q634" i="2"/>
  <c r="O634" i="2"/>
  <c r="M634" i="2"/>
  <c r="K634" i="2"/>
  <c r="I634" i="2"/>
  <c r="G634" i="2"/>
  <c r="Y631" i="2"/>
  <c r="W631" i="2"/>
  <c r="U631" i="2"/>
  <c r="S631" i="2"/>
  <c r="Q631" i="2"/>
  <c r="O631" i="2"/>
  <c r="M631" i="2"/>
  <c r="K631" i="2"/>
  <c r="I631" i="2"/>
  <c r="G631" i="2"/>
  <c r="Y628" i="2"/>
  <c r="W628" i="2"/>
  <c r="U628" i="2"/>
  <c r="S628" i="2"/>
  <c r="Q628" i="2"/>
  <c r="O628" i="2"/>
  <c r="M628" i="2"/>
  <c r="K628" i="2"/>
  <c r="I628" i="2"/>
  <c r="G628" i="2"/>
  <c r="Y625" i="2"/>
  <c r="W625" i="2"/>
  <c r="U625" i="2"/>
  <c r="S625" i="2"/>
  <c r="Q625" i="2"/>
  <c r="O625" i="2"/>
  <c r="M625" i="2"/>
  <c r="K625" i="2"/>
  <c r="I625" i="2"/>
  <c r="G625" i="2"/>
  <c r="Y622" i="2"/>
  <c r="W622" i="2"/>
  <c r="U622" i="2"/>
  <c r="S622" i="2"/>
  <c r="Q622" i="2"/>
  <c r="O622" i="2"/>
  <c r="M622" i="2"/>
  <c r="K622" i="2"/>
  <c r="I622" i="2"/>
  <c r="G622" i="2"/>
  <c r="Y619" i="2"/>
  <c r="W619" i="2"/>
  <c r="U619" i="2"/>
  <c r="S619" i="2"/>
  <c r="Q619" i="2"/>
  <c r="O619" i="2"/>
  <c r="M619" i="2"/>
  <c r="K619" i="2"/>
  <c r="I619" i="2"/>
  <c r="G619" i="2"/>
  <c r="Y616" i="2"/>
  <c r="W616" i="2"/>
  <c r="U616" i="2"/>
  <c r="S616" i="2"/>
  <c r="Q616" i="2"/>
  <c r="O616" i="2"/>
  <c r="M616" i="2"/>
  <c r="K616" i="2"/>
  <c r="I616" i="2"/>
  <c r="G616" i="2"/>
  <c r="Y613" i="2"/>
  <c r="W613" i="2"/>
  <c r="U613" i="2"/>
  <c r="S613" i="2"/>
  <c r="Q613" i="2"/>
  <c r="O613" i="2"/>
  <c r="M613" i="2"/>
  <c r="K613" i="2"/>
  <c r="I613" i="2"/>
  <c r="G613" i="2"/>
  <c r="Y610" i="2"/>
  <c r="W610" i="2"/>
  <c r="U610" i="2"/>
  <c r="S610" i="2"/>
  <c r="Q610" i="2"/>
  <c r="O610" i="2"/>
  <c r="M610" i="2"/>
  <c r="K610" i="2"/>
  <c r="I610" i="2"/>
  <c r="G610" i="2"/>
  <c r="Y607" i="2"/>
  <c r="W607" i="2"/>
  <c r="U607" i="2"/>
  <c r="S607" i="2"/>
  <c r="Q607" i="2"/>
  <c r="O607" i="2"/>
  <c r="M607" i="2"/>
  <c r="K607" i="2"/>
  <c r="I607" i="2"/>
  <c r="G607" i="2"/>
  <c r="Y604" i="2"/>
  <c r="W604" i="2"/>
  <c r="U604" i="2"/>
  <c r="S604" i="2"/>
  <c r="Q604" i="2"/>
  <c r="O604" i="2"/>
  <c r="M604" i="2"/>
  <c r="K604" i="2"/>
  <c r="I604" i="2"/>
  <c r="G604" i="2"/>
  <c r="Y601" i="2"/>
  <c r="W601" i="2"/>
  <c r="U601" i="2"/>
  <c r="S601" i="2"/>
  <c r="Q601" i="2"/>
  <c r="O601" i="2"/>
  <c r="M601" i="2"/>
  <c r="K601" i="2"/>
  <c r="I601" i="2"/>
  <c r="G601" i="2"/>
  <c r="Y598" i="2"/>
  <c r="W598" i="2"/>
  <c r="U598" i="2"/>
  <c r="S598" i="2"/>
  <c r="Q598" i="2"/>
  <c r="O598" i="2"/>
  <c r="M598" i="2"/>
  <c r="K598" i="2"/>
  <c r="I598" i="2"/>
  <c r="G598" i="2"/>
  <c r="Y595" i="2"/>
  <c r="W595" i="2"/>
  <c r="U595" i="2"/>
  <c r="S595" i="2"/>
  <c r="Q595" i="2"/>
  <c r="O595" i="2"/>
  <c r="M595" i="2"/>
  <c r="K595" i="2"/>
  <c r="I595" i="2"/>
  <c r="G595" i="2"/>
  <c r="Y592" i="2"/>
  <c r="W592" i="2"/>
  <c r="U592" i="2"/>
  <c r="S592" i="2"/>
  <c r="Q592" i="2"/>
  <c r="O592" i="2"/>
  <c r="M592" i="2"/>
  <c r="K592" i="2"/>
  <c r="I592" i="2"/>
  <c r="G592" i="2"/>
  <c r="Y589" i="2"/>
  <c r="W589" i="2"/>
  <c r="U589" i="2"/>
  <c r="S589" i="2"/>
  <c r="Q589" i="2"/>
  <c r="O589" i="2"/>
  <c r="M589" i="2"/>
  <c r="K589" i="2"/>
  <c r="I589" i="2"/>
  <c r="G589" i="2"/>
  <c r="Y586" i="2"/>
  <c r="W586" i="2"/>
  <c r="U586" i="2"/>
  <c r="S586" i="2"/>
  <c r="Q586" i="2"/>
  <c r="O586" i="2"/>
  <c r="M586" i="2"/>
  <c r="K586" i="2"/>
  <c r="I586" i="2"/>
  <c r="G586" i="2"/>
  <c r="Y583" i="2"/>
  <c r="W583" i="2"/>
  <c r="U583" i="2"/>
  <c r="S583" i="2"/>
  <c r="Q583" i="2"/>
  <c r="O583" i="2"/>
  <c r="M583" i="2"/>
  <c r="K583" i="2"/>
  <c r="I583" i="2"/>
  <c r="G583" i="2"/>
  <c r="Y580" i="2"/>
  <c r="W580" i="2"/>
  <c r="U580" i="2"/>
  <c r="S580" i="2"/>
  <c r="Q580" i="2"/>
  <c r="O580" i="2"/>
  <c r="M580" i="2"/>
  <c r="K580" i="2"/>
  <c r="I580" i="2"/>
  <c r="G580" i="2"/>
  <c r="Y577" i="2"/>
  <c r="W577" i="2"/>
  <c r="U577" i="2"/>
  <c r="S577" i="2"/>
  <c r="Q577" i="2"/>
  <c r="O577" i="2"/>
  <c r="M577" i="2"/>
  <c r="K577" i="2"/>
  <c r="I577" i="2"/>
  <c r="G577" i="2"/>
  <c r="Y574" i="2"/>
  <c r="W574" i="2"/>
  <c r="U574" i="2"/>
  <c r="S574" i="2"/>
  <c r="Q574" i="2"/>
  <c r="O574" i="2"/>
  <c r="M574" i="2"/>
  <c r="K574" i="2"/>
  <c r="I574" i="2"/>
  <c r="G574" i="2"/>
  <c r="Y571" i="2"/>
  <c r="W571" i="2"/>
  <c r="U571" i="2"/>
  <c r="S571" i="2"/>
  <c r="Q571" i="2"/>
  <c r="O571" i="2"/>
  <c r="M571" i="2"/>
  <c r="K571" i="2"/>
  <c r="I571" i="2"/>
  <c r="G571" i="2"/>
  <c r="Y568" i="2"/>
  <c r="W568" i="2"/>
  <c r="U568" i="2"/>
  <c r="S568" i="2"/>
  <c r="Q568" i="2"/>
  <c r="O568" i="2"/>
  <c r="M568" i="2"/>
  <c r="K568" i="2"/>
  <c r="I568" i="2"/>
  <c r="G568" i="2"/>
  <c r="Y565" i="2"/>
  <c r="W565" i="2"/>
  <c r="U565" i="2"/>
  <c r="S565" i="2"/>
  <c r="Q565" i="2"/>
  <c r="O565" i="2"/>
  <c r="M565" i="2"/>
  <c r="K565" i="2"/>
  <c r="I565" i="2"/>
  <c r="G565" i="2"/>
  <c r="Y562" i="2"/>
  <c r="W562" i="2"/>
  <c r="U562" i="2"/>
  <c r="S562" i="2"/>
  <c r="Q562" i="2"/>
  <c r="O562" i="2"/>
  <c r="M562" i="2"/>
  <c r="K562" i="2"/>
  <c r="I562" i="2"/>
  <c r="G562" i="2"/>
  <c r="Y559" i="2"/>
  <c r="W559" i="2"/>
  <c r="U559" i="2"/>
  <c r="S559" i="2"/>
  <c r="Q559" i="2"/>
  <c r="O559" i="2"/>
  <c r="M559" i="2"/>
  <c r="K559" i="2"/>
  <c r="I559" i="2"/>
  <c r="G559" i="2"/>
  <c r="Y556" i="2"/>
  <c r="W556" i="2"/>
  <c r="U556" i="2"/>
  <c r="S556" i="2"/>
  <c r="Q556" i="2"/>
  <c r="O556" i="2"/>
  <c r="M556" i="2"/>
  <c r="K556" i="2"/>
  <c r="I556" i="2"/>
  <c r="G556" i="2"/>
  <c r="Y553" i="2"/>
  <c r="W553" i="2"/>
  <c r="U553" i="2"/>
  <c r="S553" i="2"/>
  <c r="Q553" i="2"/>
  <c r="O553" i="2"/>
  <c r="M553" i="2"/>
  <c r="K553" i="2"/>
  <c r="I553" i="2"/>
  <c r="G553" i="2"/>
  <c r="Y550" i="2"/>
  <c r="W550" i="2"/>
  <c r="U550" i="2"/>
  <c r="S550" i="2"/>
  <c r="Q550" i="2"/>
  <c r="O550" i="2"/>
  <c r="M550" i="2"/>
  <c r="K550" i="2"/>
  <c r="I550" i="2"/>
  <c r="G550" i="2"/>
  <c r="Y547" i="2"/>
  <c r="W547" i="2"/>
  <c r="U547" i="2"/>
  <c r="S547" i="2"/>
  <c r="Q547" i="2"/>
  <c r="O547" i="2"/>
  <c r="M547" i="2"/>
  <c r="K547" i="2"/>
  <c r="I547" i="2"/>
  <c r="G547" i="2"/>
  <c r="Y544" i="2"/>
  <c r="W544" i="2"/>
  <c r="U544" i="2"/>
  <c r="S544" i="2"/>
  <c r="Q544" i="2"/>
  <c r="O544" i="2"/>
  <c r="M544" i="2"/>
  <c r="K544" i="2"/>
  <c r="I544" i="2"/>
  <c r="G544" i="2"/>
  <c r="Y541" i="2"/>
  <c r="W541" i="2"/>
  <c r="U541" i="2"/>
  <c r="S541" i="2"/>
  <c r="Q541" i="2"/>
  <c r="O541" i="2"/>
  <c r="M541" i="2"/>
  <c r="K541" i="2"/>
  <c r="I541" i="2"/>
  <c r="G541" i="2"/>
  <c r="Y538" i="2"/>
  <c r="W538" i="2"/>
  <c r="U538" i="2"/>
  <c r="S538" i="2"/>
  <c r="Q538" i="2"/>
  <c r="O538" i="2"/>
  <c r="M538" i="2"/>
  <c r="K538" i="2"/>
  <c r="I538" i="2"/>
  <c r="G538" i="2"/>
  <c r="Y535" i="2"/>
  <c r="W535" i="2"/>
  <c r="U535" i="2"/>
  <c r="S535" i="2"/>
  <c r="Q535" i="2"/>
  <c r="O535" i="2"/>
  <c r="M535" i="2"/>
  <c r="K535" i="2"/>
  <c r="I535" i="2"/>
  <c r="G535" i="2"/>
  <c r="Y532" i="2"/>
  <c r="W532" i="2"/>
  <c r="U532" i="2"/>
  <c r="S532" i="2"/>
  <c r="Q532" i="2"/>
  <c r="O532" i="2"/>
  <c r="M532" i="2"/>
  <c r="K532" i="2"/>
  <c r="I532" i="2"/>
  <c r="G532" i="2"/>
  <c r="Y529" i="2"/>
  <c r="W529" i="2"/>
  <c r="U529" i="2"/>
  <c r="S529" i="2"/>
  <c r="Q529" i="2"/>
  <c r="O529" i="2"/>
  <c r="M529" i="2"/>
  <c r="K529" i="2"/>
  <c r="I529" i="2"/>
  <c r="G529" i="2"/>
  <c r="Y526" i="2"/>
  <c r="W526" i="2"/>
  <c r="U526" i="2"/>
  <c r="S526" i="2"/>
  <c r="Q526" i="2"/>
  <c r="O526" i="2"/>
  <c r="M526" i="2"/>
  <c r="K526" i="2"/>
  <c r="I526" i="2"/>
  <c r="G526" i="2"/>
  <c r="Y523" i="2"/>
  <c r="W523" i="2"/>
  <c r="U523" i="2"/>
  <c r="S523" i="2"/>
  <c r="Q523" i="2"/>
  <c r="O523" i="2"/>
  <c r="M523" i="2"/>
  <c r="K523" i="2"/>
  <c r="I523" i="2"/>
  <c r="G523" i="2"/>
  <c r="Y520" i="2"/>
  <c r="W520" i="2"/>
  <c r="U520" i="2"/>
  <c r="S520" i="2"/>
  <c r="Q520" i="2"/>
  <c r="O520" i="2"/>
  <c r="M520" i="2"/>
  <c r="K520" i="2"/>
  <c r="I520" i="2"/>
  <c r="G520" i="2"/>
  <c r="Y517" i="2"/>
  <c r="W517" i="2"/>
  <c r="U517" i="2"/>
  <c r="S517" i="2"/>
  <c r="Q517" i="2"/>
  <c r="O517" i="2"/>
  <c r="M517" i="2"/>
  <c r="K517" i="2"/>
  <c r="I517" i="2"/>
  <c r="G517" i="2"/>
  <c r="Y514" i="2"/>
  <c r="W514" i="2"/>
  <c r="U514" i="2"/>
  <c r="S514" i="2"/>
  <c r="Q514" i="2"/>
  <c r="O514" i="2"/>
  <c r="M514" i="2"/>
  <c r="K514" i="2"/>
  <c r="I514" i="2"/>
  <c r="G514" i="2"/>
  <c r="Y511" i="2"/>
  <c r="W511" i="2"/>
  <c r="U511" i="2"/>
  <c r="S511" i="2"/>
  <c r="Q511" i="2"/>
  <c r="O511" i="2"/>
  <c r="M511" i="2"/>
  <c r="K511" i="2"/>
  <c r="I511" i="2"/>
  <c r="G511" i="2"/>
  <c r="Y508" i="2"/>
  <c r="W508" i="2"/>
  <c r="U508" i="2"/>
  <c r="S508" i="2"/>
  <c r="Q508" i="2"/>
  <c r="O508" i="2"/>
  <c r="M508" i="2"/>
  <c r="K508" i="2"/>
  <c r="I508" i="2"/>
  <c r="G508" i="2"/>
  <c r="Y505" i="2"/>
  <c r="W505" i="2"/>
  <c r="U505" i="2"/>
  <c r="S505" i="2"/>
  <c r="Q505" i="2"/>
  <c r="O505" i="2"/>
  <c r="M505" i="2"/>
  <c r="K505" i="2"/>
  <c r="I505" i="2"/>
  <c r="G505" i="2"/>
  <c r="Y502" i="2"/>
  <c r="W502" i="2"/>
  <c r="U502" i="2"/>
  <c r="S502" i="2"/>
  <c r="Q502" i="2"/>
  <c r="O502" i="2"/>
  <c r="M502" i="2"/>
  <c r="K502" i="2"/>
  <c r="I502" i="2"/>
  <c r="G502" i="2"/>
  <c r="Y499" i="2"/>
  <c r="W499" i="2"/>
  <c r="U499" i="2"/>
  <c r="S499" i="2"/>
  <c r="Q499" i="2"/>
  <c r="O499" i="2"/>
  <c r="M499" i="2"/>
  <c r="K499" i="2"/>
  <c r="I499" i="2"/>
  <c r="G499" i="2"/>
  <c r="Y496" i="2"/>
  <c r="W496" i="2"/>
  <c r="U496" i="2"/>
  <c r="S496" i="2"/>
  <c r="Q496" i="2"/>
  <c r="O496" i="2"/>
  <c r="M496" i="2"/>
  <c r="K496" i="2"/>
  <c r="I496" i="2"/>
  <c r="G496" i="2"/>
  <c r="Y493" i="2"/>
  <c r="W493" i="2"/>
  <c r="U493" i="2"/>
  <c r="S493" i="2"/>
  <c r="Q493" i="2"/>
  <c r="O493" i="2"/>
  <c r="M493" i="2"/>
  <c r="K493" i="2"/>
  <c r="I493" i="2"/>
  <c r="G493" i="2"/>
  <c r="Y490" i="2"/>
  <c r="W490" i="2"/>
  <c r="U490" i="2"/>
  <c r="S490" i="2"/>
  <c r="Q490" i="2"/>
  <c r="O490" i="2"/>
  <c r="M490" i="2"/>
  <c r="K490" i="2"/>
  <c r="I490" i="2"/>
  <c r="G490" i="2"/>
  <c r="Y487" i="2"/>
  <c r="W487" i="2"/>
  <c r="U487" i="2"/>
  <c r="S487" i="2"/>
  <c r="Q487" i="2"/>
  <c r="O487" i="2"/>
  <c r="M487" i="2"/>
  <c r="K487" i="2"/>
  <c r="I487" i="2"/>
  <c r="G487" i="2"/>
  <c r="Y484" i="2"/>
  <c r="W484" i="2"/>
  <c r="U484" i="2"/>
  <c r="S484" i="2"/>
  <c r="Q484" i="2"/>
  <c r="O484" i="2"/>
  <c r="M484" i="2"/>
  <c r="K484" i="2"/>
  <c r="I484" i="2"/>
  <c r="G484" i="2"/>
  <c r="Y481" i="2"/>
  <c r="W481" i="2"/>
  <c r="U481" i="2"/>
  <c r="S481" i="2"/>
  <c r="Q481" i="2"/>
  <c r="O481" i="2"/>
  <c r="M481" i="2"/>
  <c r="K481" i="2"/>
  <c r="I481" i="2"/>
  <c r="G481" i="2"/>
  <c r="Y478" i="2"/>
  <c r="W478" i="2"/>
  <c r="U478" i="2"/>
  <c r="S478" i="2"/>
  <c r="Q478" i="2"/>
  <c r="O478" i="2"/>
  <c r="M478" i="2"/>
  <c r="K478" i="2"/>
  <c r="I478" i="2"/>
  <c r="G478" i="2"/>
  <c r="Y475" i="2"/>
  <c r="W475" i="2"/>
  <c r="U475" i="2"/>
  <c r="S475" i="2"/>
  <c r="Q475" i="2"/>
  <c r="O475" i="2"/>
  <c r="M475" i="2"/>
  <c r="K475" i="2"/>
  <c r="I475" i="2"/>
  <c r="G475" i="2"/>
  <c r="Y472" i="2"/>
  <c r="W472" i="2"/>
  <c r="U472" i="2"/>
  <c r="S472" i="2"/>
  <c r="Q472" i="2"/>
  <c r="O472" i="2"/>
  <c r="M472" i="2"/>
  <c r="K472" i="2"/>
  <c r="I472" i="2"/>
  <c r="G472" i="2"/>
  <c r="Y469" i="2"/>
  <c r="W469" i="2"/>
  <c r="U469" i="2"/>
  <c r="S469" i="2"/>
  <c r="Q469" i="2"/>
  <c r="O469" i="2"/>
  <c r="M469" i="2"/>
  <c r="K469" i="2"/>
  <c r="I469" i="2"/>
  <c r="G469" i="2"/>
  <c r="Y466" i="2"/>
  <c r="W466" i="2"/>
  <c r="U466" i="2"/>
  <c r="S466" i="2"/>
  <c r="Q466" i="2"/>
  <c r="O466" i="2"/>
  <c r="M466" i="2"/>
  <c r="K466" i="2"/>
  <c r="I466" i="2"/>
  <c r="G466" i="2"/>
  <c r="Y463" i="2"/>
  <c r="W463" i="2"/>
  <c r="U463" i="2"/>
  <c r="S463" i="2"/>
  <c r="Q463" i="2"/>
  <c r="O463" i="2"/>
  <c r="M463" i="2"/>
  <c r="K463" i="2"/>
  <c r="I463" i="2"/>
  <c r="G463" i="2"/>
  <c r="Y460" i="2"/>
  <c r="W460" i="2"/>
  <c r="U460" i="2"/>
  <c r="S460" i="2"/>
  <c r="Q460" i="2"/>
  <c r="O460" i="2"/>
  <c r="M460" i="2"/>
  <c r="K460" i="2"/>
  <c r="I460" i="2"/>
  <c r="G460" i="2"/>
  <c r="Y457" i="2"/>
  <c r="W457" i="2"/>
  <c r="U457" i="2"/>
  <c r="S457" i="2"/>
  <c r="Q457" i="2"/>
  <c r="O457" i="2"/>
  <c r="M457" i="2"/>
  <c r="K457" i="2"/>
  <c r="I457" i="2"/>
  <c r="G457" i="2"/>
  <c r="Y454" i="2"/>
  <c r="W454" i="2"/>
  <c r="U454" i="2"/>
  <c r="S454" i="2"/>
  <c r="Q454" i="2"/>
  <c r="O454" i="2"/>
  <c r="M454" i="2"/>
  <c r="K454" i="2"/>
  <c r="I454" i="2"/>
  <c r="G454" i="2"/>
  <c r="Y451" i="2"/>
  <c r="W451" i="2"/>
  <c r="U451" i="2"/>
  <c r="S451" i="2"/>
  <c r="Q451" i="2"/>
  <c r="O451" i="2"/>
  <c r="M451" i="2"/>
  <c r="K451" i="2"/>
  <c r="I451" i="2"/>
  <c r="G451" i="2"/>
  <c r="Y448" i="2"/>
  <c r="W448" i="2"/>
  <c r="U448" i="2"/>
  <c r="S448" i="2"/>
  <c r="Q448" i="2"/>
  <c r="O448" i="2"/>
  <c r="M448" i="2"/>
  <c r="K448" i="2"/>
  <c r="I448" i="2"/>
  <c r="G448" i="2"/>
  <c r="Y445" i="2"/>
  <c r="W445" i="2"/>
  <c r="U445" i="2"/>
  <c r="S445" i="2"/>
  <c r="Q445" i="2"/>
  <c r="O445" i="2"/>
  <c r="M445" i="2"/>
  <c r="K445" i="2"/>
  <c r="I445" i="2"/>
  <c r="G445" i="2"/>
  <c r="Y442" i="2"/>
  <c r="W442" i="2"/>
  <c r="U442" i="2"/>
  <c r="S442" i="2"/>
  <c r="Q442" i="2"/>
  <c r="O442" i="2"/>
  <c r="M442" i="2"/>
  <c r="K442" i="2"/>
  <c r="I442" i="2"/>
  <c r="G442" i="2"/>
  <c r="Y439" i="2"/>
  <c r="W439" i="2"/>
  <c r="U439" i="2"/>
  <c r="S439" i="2"/>
  <c r="Q439" i="2"/>
  <c r="O439" i="2"/>
  <c r="M439" i="2"/>
  <c r="K439" i="2"/>
  <c r="I439" i="2"/>
  <c r="G439" i="2"/>
  <c r="Y436" i="2"/>
  <c r="W436" i="2"/>
  <c r="U436" i="2"/>
  <c r="S436" i="2"/>
  <c r="Q436" i="2"/>
  <c r="O436" i="2"/>
  <c r="M436" i="2"/>
  <c r="K436" i="2"/>
  <c r="I436" i="2"/>
  <c r="G436" i="2"/>
  <c r="Y433" i="2"/>
  <c r="W433" i="2"/>
  <c r="U433" i="2"/>
  <c r="S433" i="2"/>
  <c r="Q433" i="2"/>
  <c r="O433" i="2"/>
  <c r="M433" i="2"/>
  <c r="K433" i="2"/>
  <c r="I433" i="2"/>
  <c r="G433" i="2"/>
  <c r="Y430" i="2"/>
  <c r="W430" i="2"/>
  <c r="U430" i="2"/>
  <c r="S430" i="2"/>
  <c r="Q430" i="2"/>
  <c r="O430" i="2"/>
  <c r="M430" i="2"/>
  <c r="K430" i="2"/>
  <c r="I430" i="2"/>
  <c r="G430" i="2"/>
  <c r="Y427" i="2"/>
  <c r="W427" i="2"/>
  <c r="U427" i="2"/>
  <c r="S427" i="2"/>
  <c r="Q427" i="2"/>
  <c r="O427" i="2"/>
  <c r="M427" i="2"/>
  <c r="K427" i="2"/>
  <c r="I427" i="2"/>
  <c r="G427" i="2"/>
  <c r="Y424" i="2"/>
  <c r="W424" i="2"/>
  <c r="U424" i="2"/>
  <c r="S424" i="2"/>
  <c r="Q424" i="2"/>
  <c r="O424" i="2"/>
  <c r="M424" i="2"/>
  <c r="K424" i="2"/>
  <c r="I424" i="2"/>
  <c r="G424" i="2"/>
  <c r="Y421" i="2"/>
  <c r="W421" i="2"/>
  <c r="U421" i="2"/>
  <c r="S421" i="2"/>
  <c r="Q421" i="2"/>
  <c r="O421" i="2"/>
  <c r="M421" i="2"/>
  <c r="K421" i="2"/>
  <c r="I421" i="2"/>
  <c r="G421" i="2"/>
  <c r="Y418" i="2"/>
  <c r="W418" i="2"/>
  <c r="U418" i="2"/>
  <c r="S418" i="2"/>
  <c r="Q418" i="2"/>
  <c r="O418" i="2"/>
  <c r="M418" i="2"/>
  <c r="K418" i="2"/>
  <c r="I418" i="2"/>
  <c r="G418" i="2"/>
  <c r="Y415" i="2"/>
  <c r="W415" i="2"/>
  <c r="U415" i="2"/>
  <c r="S415" i="2"/>
  <c r="Q415" i="2"/>
  <c r="O415" i="2"/>
  <c r="M415" i="2"/>
  <c r="K415" i="2"/>
  <c r="I415" i="2"/>
  <c r="G415" i="2"/>
  <c r="Y412" i="2"/>
  <c r="W412" i="2"/>
  <c r="U412" i="2"/>
  <c r="S412" i="2"/>
  <c r="Q412" i="2"/>
  <c r="O412" i="2"/>
  <c r="M412" i="2"/>
  <c r="K412" i="2"/>
  <c r="I412" i="2"/>
  <c r="G412" i="2"/>
  <c r="Y409" i="2"/>
  <c r="W409" i="2"/>
  <c r="U409" i="2"/>
  <c r="S409" i="2"/>
  <c r="Q409" i="2"/>
  <c r="O409" i="2"/>
  <c r="M409" i="2"/>
  <c r="K409" i="2"/>
  <c r="I409" i="2"/>
  <c r="G409" i="2"/>
  <c r="Y406" i="2"/>
  <c r="W406" i="2"/>
  <c r="U406" i="2"/>
  <c r="S406" i="2"/>
  <c r="Q406" i="2"/>
  <c r="O406" i="2"/>
  <c r="M406" i="2"/>
  <c r="K406" i="2"/>
  <c r="I406" i="2"/>
  <c r="G406" i="2"/>
  <c r="Y403" i="2"/>
  <c r="W403" i="2"/>
  <c r="U403" i="2"/>
  <c r="S403" i="2"/>
  <c r="Q403" i="2"/>
  <c r="O403" i="2"/>
  <c r="M403" i="2"/>
  <c r="K403" i="2"/>
  <c r="I403" i="2"/>
  <c r="G403" i="2"/>
  <c r="Y400" i="2"/>
  <c r="W400" i="2"/>
  <c r="U400" i="2"/>
  <c r="S400" i="2"/>
  <c r="Q400" i="2"/>
  <c r="O400" i="2"/>
  <c r="M400" i="2"/>
  <c r="K400" i="2"/>
  <c r="I400" i="2"/>
  <c r="G400" i="2"/>
  <c r="Y397" i="2"/>
  <c r="W397" i="2"/>
  <c r="U397" i="2"/>
  <c r="S397" i="2"/>
  <c r="Q397" i="2"/>
  <c r="O397" i="2"/>
  <c r="M397" i="2"/>
  <c r="K397" i="2"/>
  <c r="I397" i="2"/>
  <c r="G397" i="2"/>
  <c r="Y394" i="2"/>
  <c r="W394" i="2"/>
  <c r="U394" i="2"/>
  <c r="S394" i="2"/>
  <c r="Q394" i="2"/>
  <c r="O394" i="2"/>
  <c r="M394" i="2"/>
  <c r="K394" i="2"/>
  <c r="I394" i="2"/>
  <c r="G394" i="2"/>
  <c r="Y391" i="2"/>
  <c r="W391" i="2"/>
  <c r="U391" i="2"/>
  <c r="S391" i="2"/>
  <c r="Q391" i="2"/>
  <c r="O391" i="2"/>
  <c r="M391" i="2"/>
  <c r="K391" i="2"/>
  <c r="I391" i="2"/>
  <c r="G391" i="2"/>
  <c r="Y388" i="2"/>
  <c r="W388" i="2"/>
  <c r="U388" i="2"/>
  <c r="S388" i="2"/>
  <c r="Q388" i="2"/>
  <c r="O388" i="2"/>
  <c r="M388" i="2"/>
  <c r="K388" i="2"/>
  <c r="I388" i="2"/>
  <c r="G388" i="2"/>
  <c r="Y385" i="2"/>
  <c r="W385" i="2"/>
  <c r="U385" i="2"/>
  <c r="S385" i="2"/>
  <c r="Q385" i="2"/>
  <c r="O385" i="2"/>
  <c r="M385" i="2"/>
  <c r="K385" i="2"/>
  <c r="I385" i="2"/>
  <c r="G385" i="2"/>
  <c r="Y382" i="2"/>
  <c r="W382" i="2"/>
  <c r="U382" i="2"/>
  <c r="S382" i="2"/>
  <c r="Q382" i="2"/>
  <c r="O382" i="2"/>
  <c r="M382" i="2"/>
  <c r="K382" i="2"/>
  <c r="I382" i="2"/>
  <c r="G382" i="2"/>
  <c r="Y379" i="2"/>
  <c r="W379" i="2"/>
  <c r="U379" i="2"/>
  <c r="S379" i="2"/>
  <c r="Q379" i="2"/>
  <c r="O379" i="2"/>
  <c r="M379" i="2"/>
  <c r="K379" i="2"/>
  <c r="I379" i="2"/>
  <c r="G379" i="2"/>
  <c r="Y376" i="2"/>
  <c r="W376" i="2"/>
  <c r="U376" i="2"/>
  <c r="S376" i="2"/>
  <c r="Q376" i="2"/>
  <c r="O376" i="2"/>
  <c r="M376" i="2"/>
  <c r="K376" i="2"/>
  <c r="I376" i="2"/>
  <c r="G376" i="2"/>
  <c r="Y373" i="2"/>
  <c r="W373" i="2"/>
  <c r="U373" i="2"/>
  <c r="S373" i="2"/>
  <c r="Q373" i="2"/>
  <c r="O373" i="2"/>
  <c r="M373" i="2"/>
  <c r="K373" i="2"/>
  <c r="I373" i="2"/>
  <c r="G373" i="2"/>
  <c r="Y370" i="2"/>
  <c r="W370" i="2"/>
  <c r="U370" i="2"/>
  <c r="S370" i="2"/>
  <c r="Q370" i="2"/>
  <c r="O370" i="2"/>
  <c r="M370" i="2"/>
  <c r="K370" i="2"/>
  <c r="I370" i="2"/>
  <c r="G370" i="2"/>
  <c r="Y367" i="2"/>
  <c r="W367" i="2"/>
  <c r="U367" i="2"/>
  <c r="S367" i="2"/>
  <c r="Q367" i="2"/>
  <c r="O367" i="2"/>
  <c r="M367" i="2"/>
  <c r="K367" i="2"/>
  <c r="I367" i="2"/>
  <c r="G367" i="2"/>
  <c r="Y364" i="2"/>
  <c r="W364" i="2"/>
  <c r="U364" i="2"/>
  <c r="S364" i="2"/>
  <c r="Q364" i="2"/>
  <c r="O364" i="2"/>
  <c r="M364" i="2"/>
  <c r="K364" i="2"/>
  <c r="I364" i="2"/>
  <c r="G364" i="2"/>
  <c r="Y361" i="2"/>
  <c r="W361" i="2"/>
  <c r="U361" i="2"/>
  <c r="S361" i="2"/>
  <c r="Q361" i="2"/>
  <c r="O361" i="2"/>
  <c r="M361" i="2"/>
  <c r="K361" i="2"/>
  <c r="I361" i="2"/>
  <c r="G361" i="2"/>
  <c r="Y358" i="2"/>
  <c r="W358" i="2"/>
  <c r="U358" i="2"/>
  <c r="S358" i="2"/>
  <c r="Q358" i="2"/>
  <c r="O358" i="2"/>
  <c r="M358" i="2"/>
  <c r="K358" i="2"/>
  <c r="I358" i="2"/>
  <c r="G358" i="2"/>
  <c r="Y355" i="2"/>
  <c r="W355" i="2"/>
  <c r="U355" i="2"/>
  <c r="S355" i="2"/>
  <c r="Q355" i="2"/>
  <c r="O355" i="2"/>
  <c r="M355" i="2"/>
  <c r="K355" i="2"/>
  <c r="I355" i="2"/>
  <c r="G355" i="2"/>
  <c r="Y352" i="2"/>
  <c r="W352" i="2"/>
  <c r="U352" i="2"/>
  <c r="S352" i="2"/>
  <c r="Q352" i="2"/>
  <c r="O352" i="2"/>
  <c r="M352" i="2"/>
  <c r="K352" i="2"/>
  <c r="I352" i="2"/>
  <c r="G352" i="2"/>
  <c r="Y349" i="2"/>
  <c r="W349" i="2"/>
  <c r="U349" i="2"/>
  <c r="S349" i="2"/>
  <c r="Q349" i="2"/>
  <c r="O349" i="2"/>
  <c r="M349" i="2"/>
  <c r="K349" i="2"/>
  <c r="I349" i="2"/>
  <c r="G349" i="2"/>
  <c r="Y346" i="2"/>
  <c r="W346" i="2"/>
  <c r="U346" i="2"/>
  <c r="S346" i="2"/>
  <c r="Q346" i="2"/>
  <c r="O346" i="2"/>
  <c r="M346" i="2"/>
  <c r="K346" i="2"/>
  <c r="I346" i="2"/>
  <c r="G346" i="2"/>
  <c r="Y343" i="2"/>
  <c r="W343" i="2"/>
  <c r="U343" i="2"/>
  <c r="S343" i="2"/>
  <c r="Q343" i="2"/>
  <c r="O343" i="2"/>
  <c r="M343" i="2"/>
  <c r="K343" i="2"/>
  <c r="I343" i="2"/>
  <c r="G343" i="2"/>
  <c r="Y340" i="2"/>
  <c r="W340" i="2"/>
  <c r="U340" i="2"/>
  <c r="S340" i="2"/>
  <c r="Q340" i="2"/>
  <c r="O340" i="2"/>
  <c r="M340" i="2"/>
  <c r="K340" i="2"/>
  <c r="I340" i="2"/>
  <c r="G340" i="2"/>
  <c r="Y337" i="2"/>
  <c r="W337" i="2"/>
  <c r="U337" i="2"/>
  <c r="S337" i="2"/>
  <c r="Q337" i="2"/>
  <c r="O337" i="2"/>
  <c r="M337" i="2"/>
  <c r="K337" i="2"/>
  <c r="I337" i="2"/>
  <c r="G337" i="2"/>
  <c r="Y334" i="2"/>
  <c r="W334" i="2"/>
  <c r="U334" i="2"/>
  <c r="S334" i="2"/>
  <c r="Q334" i="2"/>
  <c r="O334" i="2"/>
  <c r="M334" i="2"/>
  <c r="K334" i="2"/>
  <c r="I334" i="2"/>
  <c r="G334" i="2"/>
  <c r="Y331" i="2"/>
  <c r="W331" i="2"/>
  <c r="U331" i="2"/>
  <c r="S331" i="2"/>
  <c r="Q331" i="2"/>
  <c r="O331" i="2"/>
  <c r="M331" i="2"/>
  <c r="K331" i="2"/>
  <c r="I331" i="2"/>
  <c r="G331" i="2"/>
  <c r="Y328" i="2"/>
  <c r="W328" i="2"/>
  <c r="U328" i="2"/>
  <c r="S328" i="2"/>
  <c r="Q328" i="2"/>
  <c r="O328" i="2"/>
  <c r="M328" i="2"/>
  <c r="K328" i="2"/>
  <c r="I328" i="2"/>
  <c r="G328" i="2"/>
  <c r="Y325" i="2"/>
  <c r="W325" i="2"/>
  <c r="U325" i="2"/>
  <c r="S325" i="2"/>
  <c r="Q325" i="2"/>
  <c r="O325" i="2"/>
  <c r="M325" i="2"/>
  <c r="K325" i="2"/>
  <c r="I325" i="2"/>
  <c r="G325" i="2"/>
  <c r="Y322" i="2"/>
  <c r="W322" i="2"/>
  <c r="U322" i="2"/>
  <c r="S322" i="2"/>
  <c r="Q322" i="2"/>
  <c r="O322" i="2"/>
  <c r="M322" i="2"/>
  <c r="K322" i="2"/>
  <c r="I322" i="2"/>
  <c r="G322" i="2"/>
  <c r="Y319" i="2"/>
  <c r="W319" i="2"/>
  <c r="U319" i="2"/>
  <c r="S319" i="2"/>
  <c r="Q319" i="2"/>
  <c r="O319" i="2"/>
  <c r="M319" i="2"/>
  <c r="K319" i="2"/>
  <c r="I319" i="2"/>
  <c r="G319" i="2"/>
  <c r="Y316" i="2"/>
  <c r="W316" i="2"/>
  <c r="U316" i="2"/>
  <c r="S316" i="2"/>
  <c r="Q316" i="2"/>
  <c r="O316" i="2"/>
  <c r="M316" i="2"/>
  <c r="K316" i="2"/>
  <c r="I316" i="2"/>
  <c r="G316" i="2"/>
  <c r="Y313" i="2"/>
  <c r="W313" i="2"/>
  <c r="U313" i="2"/>
  <c r="S313" i="2"/>
  <c r="Q313" i="2"/>
  <c r="O313" i="2"/>
  <c r="M313" i="2"/>
  <c r="K313" i="2"/>
  <c r="I313" i="2"/>
  <c r="G313" i="2"/>
  <c r="Y310" i="2"/>
  <c r="W310" i="2"/>
  <c r="U310" i="2"/>
  <c r="S310" i="2"/>
  <c r="Q310" i="2"/>
  <c r="O310" i="2"/>
  <c r="M310" i="2"/>
  <c r="K310" i="2"/>
  <c r="I310" i="2"/>
  <c r="G310" i="2"/>
  <c r="Y307" i="2"/>
  <c r="W307" i="2"/>
  <c r="U307" i="2"/>
  <c r="S307" i="2"/>
  <c r="Q307" i="2"/>
  <c r="O307" i="2"/>
  <c r="M307" i="2"/>
  <c r="K307" i="2"/>
  <c r="I307" i="2"/>
  <c r="G307" i="2"/>
  <c r="Y304" i="2"/>
  <c r="W304" i="2"/>
  <c r="U304" i="2"/>
  <c r="S304" i="2"/>
  <c r="Q304" i="2"/>
  <c r="O304" i="2"/>
  <c r="M304" i="2"/>
  <c r="K304" i="2"/>
  <c r="I304" i="2"/>
  <c r="G304" i="2"/>
  <c r="Y301" i="2"/>
  <c r="W301" i="2"/>
  <c r="U301" i="2"/>
  <c r="S301" i="2"/>
  <c r="Q301" i="2"/>
  <c r="O301" i="2"/>
  <c r="M301" i="2"/>
  <c r="K301" i="2"/>
  <c r="I301" i="2"/>
  <c r="G301" i="2"/>
  <c r="Y298" i="2"/>
  <c r="W298" i="2"/>
  <c r="U298" i="2"/>
  <c r="S298" i="2"/>
  <c r="Q298" i="2"/>
  <c r="O298" i="2"/>
  <c r="M298" i="2"/>
  <c r="K298" i="2"/>
  <c r="I298" i="2"/>
  <c r="G298" i="2"/>
  <c r="Y295" i="2"/>
  <c r="W295" i="2"/>
  <c r="U295" i="2"/>
  <c r="S295" i="2"/>
  <c r="Q295" i="2"/>
  <c r="O295" i="2"/>
  <c r="M295" i="2"/>
  <c r="K295" i="2"/>
  <c r="I295" i="2"/>
  <c r="G295" i="2"/>
  <c r="Y292" i="2"/>
  <c r="W292" i="2"/>
  <c r="U292" i="2"/>
  <c r="S292" i="2"/>
  <c r="Q292" i="2"/>
  <c r="O292" i="2"/>
  <c r="M292" i="2"/>
  <c r="K292" i="2"/>
  <c r="I292" i="2"/>
  <c r="G292" i="2"/>
  <c r="Y289" i="2"/>
  <c r="W289" i="2"/>
  <c r="U289" i="2"/>
  <c r="S289" i="2"/>
  <c r="Q289" i="2"/>
  <c r="O289" i="2"/>
  <c r="M289" i="2"/>
  <c r="K289" i="2"/>
  <c r="I289" i="2"/>
  <c r="G289" i="2"/>
  <c r="Y286" i="2"/>
  <c r="W286" i="2"/>
  <c r="U286" i="2"/>
  <c r="S286" i="2"/>
  <c r="Q286" i="2"/>
  <c r="O286" i="2"/>
  <c r="M286" i="2"/>
  <c r="K286" i="2"/>
  <c r="I286" i="2"/>
  <c r="G286" i="2"/>
  <c r="Y283" i="2"/>
  <c r="W283" i="2"/>
  <c r="U283" i="2"/>
  <c r="S283" i="2"/>
  <c r="Q283" i="2"/>
  <c r="O283" i="2"/>
  <c r="M283" i="2"/>
  <c r="K283" i="2"/>
  <c r="I283" i="2"/>
  <c r="G283" i="2"/>
  <c r="Y280" i="2"/>
  <c r="W280" i="2"/>
  <c r="U280" i="2"/>
  <c r="S280" i="2"/>
  <c r="Q280" i="2"/>
  <c r="O280" i="2"/>
  <c r="M280" i="2"/>
  <c r="K280" i="2"/>
  <c r="I280" i="2"/>
  <c r="G280" i="2"/>
  <c r="Y277" i="2"/>
  <c r="W277" i="2"/>
  <c r="U277" i="2"/>
  <c r="S277" i="2"/>
  <c r="Q277" i="2"/>
  <c r="O277" i="2"/>
  <c r="M277" i="2"/>
  <c r="K277" i="2"/>
  <c r="I277" i="2"/>
  <c r="G277" i="2"/>
  <c r="Y274" i="2"/>
  <c r="W274" i="2"/>
  <c r="U274" i="2"/>
  <c r="S274" i="2"/>
  <c r="Q274" i="2"/>
  <c r="O274" i="2"/>
  <c r="M274" i="2"/>
  <c r="K274" i="2"/>
  <c r="I274" i="2"/>
  <c r="G274" i="2"/>
  <c r="Y271" i="2"/>
  <c r="W271" i="2"/>
  <c r="U271" i="2"/>
  <c r="S271" i="2"/>
  <c r="Q271" i="2"/>
  <c r="O271" i="2"/>
  <c r="M271" i="2"/>
  <c r="K271" i="2"/>
  <c r="I271" i="2"/>
  <c r="G271" i="2"/>
  <c r="Y268" i="2"/>
  <c r="W268" i="2"/>
  <c r="U268" i="2"/>
  <c r="S268" i="2"/>
  <c r="Q268" i="2"/>
  <c r="O268" i="2"/>
  <c r="M268" i="2"/>
  <c r="K268" i="2"/>
  <c r="I268" i="2"/>
  <c r="G268" i="2"/>
  <c r="Y265" i="2"/>
  <c r="W265" i="2"/>
  <c r="U265" i="2"/>
  <c r="S265" i="2"/>
  <c r="Q265" i="2"/>
  <c r="O265" i="2"/>
  <c r="M265" i="2"/>
  <c r="K265" i="2"/>
  <c r="I265" i="2"/>
  <c r="G265" i="2"/>
  <c r="Y262" i="2"/>
  <c r="W262" i="2"/>
  <c r="U262" i="2"/>
  <c r="S262" i="2"/>
  <c r="Q262" i="2"/>
  <c r="O262" i="2"/>
  <c r="M262" i="2"/>
  <c r="K262" i="2"/>
  <c r="I262" i="2"/>
  <c r="G262" i="2"/>
  <c r="Y259" i="2"/>
  <c r="W259" i="2"/>
  <c r="U259" i="2"/>
  <c r="S259" i="2"/>
  <c r="Q259" i="2"/>
  <c r="O259" i="2"/>
  <c r="M259" i="2"/>
  <c r="K259" i="2"/>
  <c r="I259" i="2"/>
  <c r="G259" i="2"/>
  <c r="Y256" i="2"/>
  <c r="W256" i="2"/>
  <c r="U256" i="2"/>
  <c r="S256" i="2"/>
  <c r="Q256" i="2"/>
  <c r="O256" i="2"/>
  <c r="M256" i="2"/>
  <c r="K256" i="2"/>
  <c r="I256" i="2"/>
  <c r="G256" i="2"/>
  <c r="Y253" i="2"/>
  <c r="W253" i="2"/>
  <c r="U253" i="2"/>
  <c r="S253" i="2"/>
  <c r="Q253" i="2"/>
  <c r="O253" i="2"/>
  <c r="M253" i="2"/>
  <c r="K253" i="2"/>
  <c r="I253" i="2"/>
  <c r="G253" i="2"/>
  <c r="Y250" i="2"/>
  <c r="W250" i="2"/>
  <c r="U250" i="2"/>
  <c r="S250" i="2"/>
  <c r="Q250" i="2"/>
  <c r="O250" i="2"/>
  <c r="M250" i="2"/>
  <c r="K250" i="2"/>
  <c r="I250" i="2"/>
  <c r="G250" i="2"/>
  <c r="Y247" i="2"/>
  <c r="W247" i="2"/>
  <c r="U247" i="2"/>
  <c r="S247" i="2"/>
  <c r="Q247" i="2"/>
  <c r="O247" i="2"/>
  <c r="M247" i="2"/>
  <c r="K247" i="2"/>
  <c r="I247" i="2"/>
  <c r="G247" i="2"/>
  <c r="Y244" i="2"/>
  <c r="W244" i="2"/>
  <c r="U244" i="2"/>
  <c r="S244" i="2"/>
  <c r="Q244" i="2"/>
  <c r="O244" i="2"/>
  <c r="M244" i="2"/>
  <c r="K244" i="2"/>
  <c r="I244" i="2"/>
  <c r="G244" i="2"/>
  <c r="Y241" i="2"/>
  <c r="W241" i="2"/>
  <c r="U241" i="2"/>
  <c r="S241" i="2"/>
  <c r="Q241" i="2"/>
  <c r="O241" i="2"/>
  <c r="M241" i="2"/>
  <c r="K241" i="2"/>
  <c r="I241" i="2"/>
  <c r="G241" i="2"/>
  <c r="Y238" i="2"/>
  <c r="W238" i="2"/>
  <c r="U238" i="2"/>
  <c r="S238" i="2"/>
  <c r="Q238" i="2"/>
  <c r="O238" i="2"/>
  <c r="M238" i="2"/>
  <c r="K238" i="2"/>
  <c r="I238" i="2"/>
  <c r="G238" i="2"/>
  <c r="Y235" i="2"/>
  <c r="W235" i="2"/>
  <c r="U235" i="2"/>
  <c r="S235" i="2"/>
  <c r="Q235" i="2"/>
  <c r="O235" i="2"/>
  <c r="M235" i="2"/>
  <c r="K235" i="2"/>
  <c r="I235" i="2"/>
  <c r="G235" i="2"/>
  <c r="Y232" i="2"/>
  <c r="W232" i="2"/>
  <c r="U232" i="2"/>
  <c r="S232" i="2"/>
  <c r="Q232" i="2"/>
  <c r="O232" i="2"/>
  <c r="M232" i="2"/>
  <c r="K232" i="2"/>
  <c r="I232" i="2"/>
  <c r="G232" i="2"/>
  <c r="Y229" i="2"/>
  <c r="W229" i="2"/>
  <c r="U229" i="2"/>
  <c r="S229" i="2"/>
  <c r="Q229" i="2"/>
  <c r="O229" i="2"/>
  <c r="M229" i="2"/>
  <c r="K229" i="2"/>
  <c r="I229" i="2"/>
  <c r="G229" i="2"/>
  <c r="Y226" i="2"/>
  <c r="W226" i="2"/>
  <c r="U226" i="2"/>
  <c r="S226" i="2"/>
  <c r="Q226" i="2"/>
  <c r="O226" i="2"/>
  <c r="M226" i="2"/>
  <c r="K226" i="2"/>
  <c r="I226" i="2"/>
  <c r="G226" i="2"/>
  <c r="Y223" i="2"/>
  <c r="W223" i="2"/>
  <c r="U223" i="2"/>
  <c r="S223" i="2"/>
  <c r="Q223" i="2"/>
  <c r="O223" i="2"/>
  <c r="M223" i="2"/>
  <c r="K223" i="2"/>
  <c r="I223" i="2"/>
  <c r="G223" i="2"/>
  <c r="Y220" i="2"/>
  <c r="W220" i="2"/>
  <c r="U220" i="2"/>
  <c r="S220" i="2"/>
  <c r="Q220" i="2"/>
  <c r="O220" i="2"/>
  <c r="M220" i="2"/>
  <c r="K220" i="2"/>
  <c r="I220" i="2"/>
  <c r="G220" i="2"/>
  <c r="Y217" i="2"/>
  <c r="W217" i="2"/>
  <c r="U217" i="2"/>
  <c r="S217" i="2"/>
  <c r="Q217" i="2"/>
  <c r="O217" i="2"/>
  <c r="M217" i="2"/>
  <c r="K217" i="2"/>
  <c r="I217" i="2"/>
  <c r="G217" i="2"/>
  <c r="Y214" i="2"/>
  <c r="W214" i="2"/>
  <c r="U214" i="2"/>
  <c r="S214" i="2"/>
  <c r="Q214" i="2"/>
  <c r="O214" i="2"/>
  <c r="M214" i="2"/>
  <c r="K214" i="2"/>
  <c r="I214" i="2"/>
  <c r="G214" i="2"/>
  <c r="Y211" i="2"/>
  <c r="W211" i="2"/>
  <c r="U211" i="2"/>
  <c r="S211" i="2"/>
  <c r="Q211" i="2"/>
  <c r="O211" i="2"/>
  <c r="M211" i="2"/>
  <c r="K211" i="2"/>
  <c r="I211" i="2"/>
  <c r="G211" i="2"/>
  <c r="Y208" i="2"/>
  <c r="W208" i="2"/>
  <c r="U208" i="2"/>
  <c r="S208" i="2"/>
  <c r="Q208" i="2"/>
  <c r="O208" i="2"/>
  <c r="M208" i="2"/>
  <c r="K208" i="2"/>
  <c r="I208" i="2"/>
  <c r="G208" i="2"/>
  <c r="Y205" i="2"/>
  <c r="W205" i="2"/>
  <c r="U205" i="2"/>
  <c r="S205" i="2"/>
  <c r="Q205" i="2"/>
  <c r="O205" i="2"/>
  <c r="M205" i="2"/>
  <c r="K205" i="2"/>
  <c r="I205" i="2"/>
  <c r="G205" i="2"/>
  <c r="Y202" i="2"/>
  <c r="W202" i="2"/>
  <c r="U202" i="2"/>
  <c r="S202" i="2"/>
  <c r="Q202" i="2"/>
  <c r="O202" i="2"/>
  <c r="M202" i="2"/>
  <c r="K202" i="2"/>
  <c r="I202" i="2"/>
  <c r="G202" i="2"/>
  <c r="Y199" i="2"/>
  <c r="W199" i="2"/>
  <c r="U199" i="2"/>
  <c r="S199" i="2"/>
  <c r="Q199" i="2"/>
  <c r="O199" i="2"/>
  <c r="M199" i="2"/>
  <c r="K199" i="2"/>
  <c r="I199" i="2"/>
  <c r="G199" i="2"/>
  <c r="Y196" i="2"/>
  <c r="W196" i="2"/>
  <c r="U196" i="2"/>
  <c r="S196" i="2"/>
  <c r="Q196" i="2"/>
  <c r="O196" i="2"/>
  <c r="M196" i="2"/>
  <c r="K196" i="2"/>
  <c r="I196" i="2"/>
  <c r="G196" i="2"/>
  <c r="Y193" i="2"/>
  <c r="W193" i="2"/>
  <c r="U193" i="2"/>
  <c r="S193" i="2"/>
  <c r="Q193" i="2"/>
  <c r="O193" i="2"/>
  <c r="M193" i="2"/>
  <c r="K193" i="2"/>
  <c r="I193" i="2"/>
  <c r="G193" i="2"/>
  <c r="Y190" i="2"/>
  <c r="W190" i="2"/>
  <c r="U190" i="2"/>
  <c r="S190" i="2"/>
  <c r="Q190" i="2"/>
  <c r="O190" i="2"/>
  <c r="M190" i="2"/>
  <c r="K190" i="2"/>
  <c r="I190" i="2"/>
  <c r="G190" i="2"/>
  <c r="Y187" i="2"/>
  <c r="W187" i="2"/>
  <c r="U187" i="2"/>
  <c r="S187" i="2"/>
  <c r="Q187" i="2"/>
  <c r="O187" i="2"/>
  <c r="M187" i="2"/>
  <c r="K187" i="2"/>
  <c r="I187" i="2"/>
  <c r="G187" i="2"/>
  <c r="Y184" i="2"/>
  <c r="W184" i="2"/>
  <c r="U184" i="2"/>
  <c r="S184" i="2"/>
  <c r="Q184" i="2"/>
  <c r="O184" i="2"/>
  <c r="M184" i="2"/>
  <c r="K184" i="2"/>
  <c r="I184" i="2"/>
  <c r="G184" i="2"/>
  <c r="Y181" i="2"/>
  <c r="W181" i="2"/>
  <c r="U181" i="2"/>
  <c r="S181" i="2"/>
  <c r="Q181" i="2"/>
  <c r="O181" i="2"/>
  <c r="M181" i="2"/>
  <c r="K181" i="2"/>
  <c r="I181" i="2"/>
  <c r="G181" i="2"/>
  <c r="Y178" i="2"/>
  <c r="W178" i="2"/>
  <c r="U178" i="2"/>
  <c r="S178" i="2"/>
  <c r="Q178" i="2"/>
  <c r="O178" i="2"/>
  <c r="M178" i="2"/>
  <c r="K178" i="2"/>
  <c r="I178" i="2"/>
  <c r="G178" i="2"/>
  <c r="Y175" i="2"/>
  <c r="W175" i="2"/>
  <c r="U175" i="2"/>
  <c r="S175" i="2"/>
  <c r="Q175" i="2"/>
  <c r="O175" i="2"/>
  <c r="M175" i="2"/>
  <c r="K175" i="2"/>
  <c r="I175" i="2"/>
  <c r="G175" i="2"/>
  <c r="Y172" i="2"/>
  <c r="W172" i="2"/>
  <c r="U172" i="2"/>
  <c r="S172" i="2"/>
  <c r="Q172" i="2"/>
  <c r="O172" i="2"/>
  <c r="M172" i="2"/>
  <c r="K172" i="2"/>
  <c r="I172" i="2"/>
  <c r="G172" i="2"/>
  <c r="Y169" i="2"/>
  <c r="W169" i="2"/>
  <c r="U169" i="2"/>
  <c r="S169" i="2"/>
  <c r="Q169" i="2"/>
  <c r="O169" i="2"/>
  <c r="M169" i="2"/>
  <c r="K169" i="2"/>
  <c r="I169" i="2"/>
  <c r="G169" i="2"/>
  <c r="Y166" i="2"/>
  <c r="W166" i="2"/>
  <c r="U166" i="2"/>
  <c r="S166" i="2"/>
  <c r="Q166" i="2"/>
  <c r="O166" i="2"/>
  <c r="M166" i="2"/>
  <c r="K166" i="2"/>
  <c r="I166" i="2"/>
  <c r="G166" i="2"/>
  <c r="Y163" i="2"/>
  <c r="W163" i="2"/>
  <c r="U163" i="2"/>
  <c r="S163" i="2"/>
  <c r="Q163" i="2"/>
  <c r="O163" i="2"/>
  <c r="M163" i="2"/>
  <c r="K163" i="2"/>
  <c r="I163" i="2"/>
  <c r="G163" i="2"/>
  <c r="Y160" i="2"/>
  <c r="W160" i="2"/>
  <c r="U160" i="2"/>
  <c r="S160" i="2"/>
  <c r="Q160" i="2"/>
  <c r="O160" i="2"/>
  <c r="M160" i="2"/>
  <c r="K160" i="2"/>
  <c r="I160" i="2"/>
  <c r="G160" i="2"/>
  <c r="Y157" i="2"/>
  <c r="W157" i="2"/>
  <c r="U157" i="2"/>
  <c r="S157" i="2"/>
  <c r="Q157" i="2"/>
  <c r="O157" i="2"/>
  <c r="M157" i="2"/>
  <c r="K157" i="2"/>
  <c r="I157" i="2"/>
  <c r="G157" i="2"/>
  <c r="Y154" i="2"/>
  <c r="W154" i="2"/>
  <c r="U154" i="2"/>
  <c r="S154" i="2"/>
  <c r="Q154" i="2"/>
  <c r="O154" i="2"/>
  <c r="M154" i="2"/>
  <c r="K154" i="2"/>
  <c r="I154" i="2"/>
  <c r="G154" i="2"/>
  <c r="Y151" i="2"/>
  <c r="W151" i="2"/>
  <c r="U151" i="2"/>
  <c r="S151" i="2"/>
  <c r="Q151" i="2"/>
  <c r="O151" i="2"/>
  <c r="M151" i="2"/>
  <c r="K151" i="2"/>
  <c r="I151" i="2"/>
  <c r="G151" i="2"/>
  <c r="Y148" i="2"/>
  <c r="W148" i="2"/>
  <c r="U148" i="2"/>
  <c r="S148" i="2"/>
  <c r="Q148" i="2"/>
  <c r="O148" i="2"/>
  <c r="M148" i="2"/>
  <c r="K148" i="2"/>
  <c r="I148" i="2"/>
  <c r="G148" i="2"/>
  <c r="Y145" i="2"/>
  <c r="W145" i="2"/>
  <c r="U145" i="2"/>
  <c r="S145" i="2"/>
  <c r="Q145" i="2"/>
  <c r="O145" i="2"/>
  <c r="M145" i="2"/>
  <c r="K145" i="2"/>
  <c r="I145" i="2"/>
  <c r="G145" i="2"/>
  <c r="Y142" i="2"/>
  <c r="W142" i="2"/>
  <c r="U142" i="2"/>
  <c r="S142" i="2"/>
  <c r="Q142" i="2"/>
  <c r="O142" i="2"/>
  <c r="M142" i="2"/>
  <c r="K142" i="2"/>
  <c r="I142" i="2"/>
  <c r="G142" i="2"/>
  <c r="Y139" i="2"/>
  <c r="W139" i="2"/>
  <c r="U139" i="2"/>
  <c r="S139" i="2"/>
  <c r="Q139" i="2"/>
  <c r="O139" i="2"/>
  <c r="M139" i="2"/>
  <c r="K139" i="2"/>
  <c r="I139" i="2"/>
  <c r="G139" i="2"/>
  <c r="Y136" i="2"/>
  <c r="W136" i="2"/>
  <c r="U136" i="2"/>
  <c r="S136" i="2"/>
  <c r="Q136" i="2"/>
  <c r="O136" i="2"/>
  <c r="M136" i="2"/>
  <c r="K136" i="2"/>
  <c r="I136" i="2"/>
  <c r="G136" i="2"/>
  <c r="Y133" i="2"/>
  <c r="W133" i="2"/>
  <c r="U133" i="2"/>
  <c r="S133" i="2"/>
  <c r="Q133" i="2"/>
  <c r="O133" i="2"/>
  <c r="M133" i="2"/>
  <c r="K133" i="2"/>
  <c r="I133" i="2"/>
  <c r="G133" i="2"/>
  <c r="Y130" i="2"/>
  <c r="W130" i="2"/>
  <c r="U130" i="2"/>
  <c r="S130" i="2"/>
  <c r="Q130" i="2"/>
  <c r="O130" i="2"/>
  <c r="M130" i="2"/>
  <c r="K130" i="2"/>
  <c r="I130" i="2"/>
  <c r="G130" i="2"/>
  <c r="Y127" i="2"/>
  <c r="W127" i="2"/>
  <c r="U127" i="2"/>
  <c r="S127" i="2"/>
  <c r="Q127" i="2"/>
  <c r="O127" i="2"/>
  <c r="M127" i="2"/>
  <c r="K127" i="2"/>
  <c r="I127" i="2"/>
  <c r="G127" i="2"/>
  <c r="Y124" i="2"/>
  <c r="W124" i="2"/>
  <c r="U124" i="2"/>
  <c r="S124" i="2"/>
  <c r="Q124" i="2"/>
  <c r="O124" i="2"/>
  <c r="M124" i="2"/>
  <c r="K124" i="2"/>
  <c r="I124" i="2"/>
  <c r="G124" i="2"/>
  <c r="Y121" i="2"/>
  <c r="W121" i="2"/>
  <c r="U121" i="2"/>
  <c r="S121" i="2"/>
  <c r="Q121" i="2"/>
  <c r="O121" i="2"/>
  <c r="M121" i="2"/>
  <c r="K121" i="2"/>
  <c r="I121" i="2"/>
  <c r="G121" i="2"/>
  <c r="Y118" i="2"/>
  <c r="W118" i="2"/>
  <c r="U118" i="2"/>
  <c r="S118" i="2"/>
  <c r="Q118" i="2"/>
  <c r="O118" i="2"/>
  <c r="M118" i="2"/>
  <c r="K118" i="2"/>
  <c r="I118" i="2"/>
  <c r="G118" i="2"/>
  <c r="Y115" i="2"/>
  <c r="W115" i="2"/>
  <c r="U115" i="2"/>
  <c r="S115" i="2"/>
  <c r="Q115" i="2"/>
  <c r="O115" i="2"/>
  <c r="M115" i="2"/>
  <c r="K115" i="2"/>
  <c r="I115" i="2"/>
  <c r="G115" i="2"/>
  <c r="Y112" i="2"/>
  <c r="W112" i="2"/>
  <c r="U112" i="2"/>
  <c r="S112" i="2"/>
  <c r="Q112" i="2"/>
  <c r="O112" i="2"/>
  <c r="M112" i="2"/>
  <c r="K112" i="2"/>
  <c r="I112" i="2"/>
  <c r="G112" i="2"/>
  <c r="Y109" i="2"/>
  <c r="W109" i="2"/>
  <c r="U109" i="2"/>
  <c r="S109" i="2"/>
  <c r="Q109" i="2"/>
  <c r="O109" i="2"/>
  <c r="M109" i="2"/>
  <c r="K109" i="2"/>
  <c r="I109" i="2"/>
  <c r="G109" i="2"/>
  <c r="Y106" i="2"/>
  <c r="W106" i="2"/>
  <c r="U106" i="2"/>
  <c r="S106" i="2"/>
  <c r="Q106" i="2"/>
  <c r="O106" i="2"/>
  <c r="M106" i="2"/>
  <c r="K106" i="2"/>
  <c r="I106" i="2"/>
  <c r="G106" i="2"/>
  <c r="Y103" i="2"/>
  <c r="W103" i="2"/>
  <c r="U103" i="2"/>
  <c r="S103" i="2"/>
  <c r="Q103" i="2"/>
  <c r="O103" i="2"/>
  <c r="M103" i="2"/>
  <c r="K103" i="2"/>
  <c r="I103" i="2"/>
  <c r="G103" i="2"/>
  <c r="Y100" i="2"/>
  <c r="W100" i="2"/>
  <c r="U100" i="2"/>
  <c r="S100" i="2"/>
  <c r="Q100" i="2"/>
  <c r="O100" i="2"/>
  <c r="M100" i="2"/>
  <c r="K100" i="2"/>
  <c r="I100" i="2"/>
  <c r="G100" i="2"/>
  <c r="Y97" i="2"/>
  <c r="W97" i="2"/>
  <c r="U97" i="2"/>
  <c r="S97" i="2"/>
  <c r="Q97" i="2"/>
  <c r="O97" i="2"/>
  <c r="M97" i="2"/>
  <c r="K97" i="2"/>
  <c r="I97" i="2"/>
  <c r="G97" i="2"/>
  <c r="Y94" i="2"/>
  <c r="W94" i="2"/>
  <c r="U94" i="2"/>
  <c r="S94" i="2"/>
  <c r="Q94" i="2"/>
  <c r="O94" i="2"/>
  <c r="M94" i="2"/>
  <c r="K94" i="2"/>
  <c r="I94" i="2"/>
  <c r="G94" i="2"/>
  <c r="Y91" i="2"/>
  <c r="W91" i="2"/>
  <c r="U91" i="2"/>
  <c r="S91" i="2"/>
  <c r="Q91" i="2"/>
  <c r="O91" i="2"/>
  <c r="M91" i="2"/>
  <c r="K91" i="2"/>
  <c r="I91" i="2"/>
  <c r="G91" i="2"/>
  <c r="Y88" i="2"/>
  <c r="W88" i="2"/>
  <c r="U88" i="2"/>
  <c r="S88" i="2"/>
  <c r="Q88" i="2"/>
  <c r="O88" i="2"/>
  <c r="M88" i="2"/>
  <c r="K88" i="2"/>
  <c r="I88" i="2"/>
  <c r="G88" i="2"/>
  <c r="Y85" i="2"/>
  <c r="W85" i="2"/>
  <c r="U85" i="2"/>
  <c r="S85" i="2"/>
  <c r="Q85" i="2"/>
  <c r="O85" i="2"/>
  <c r="M85" i="2"/>
  <c r="K85" i="2"/>
  <c r="I85" i="2"/>
  <c r="G85" i="2"/>
  <c r="Y82" i="2"/>
  <c r="W82" i="2"/>
  <c r="U82" i="2"/>
  <c r="S82" i="2"/>
  <c r="Q82" i="2"/>
  <c r="O82" i="2"/>
  <c r="M82" i="2"/>
  <c r="K82" i="2"/>
  <c r="I82" i="2"/>
  <c r="G82" i="2"/>
  <c r="Y79" i="2"/>
  <c r="W79" i="2"/>
  <c r="U79" i="2"/>
  <c r="S79" i="2"/>
  <c r="Q79" i="2"/>
  <c r="O79" i="2"/>
  <c r="M79" i="2"/>
  <c r="K79" i="2"/>
  <c r="I79" i="2"/>
  <c r="G79" i="2"/>
  <c r="Y76" i="2"/>
  <c r="W76" i="2"/>
  <c r="U76" i="2"/>
  <c r="S76" i="2"/>
  <c r="Q76" i="2"/>
  <c r="O76" i="2"/>
  <c r="M76" i="2"/>
  <c r="K76" i="2"/>
  <c r="I76" i="2"/>
  <c r="G76" i="2"/>
  <c r="Y73" i="2"/>
  <c r="W73" i="2"/>
  <c r="U73" i="2"/>
  <c r="S73" i="2"/>
  <c r="Q73" i="2"/>
  <c r="O73" i="2"/>
  <c r="M73" i="2"/>
  <c r="K73" i="2"/>
  <c r="I73" i="2"/>
  <c r="G73" i="2"/>
  <c r="Y72" i="2"/>
  <c r="W72" i="2"/>
  <c r="U72" i="2"/>
  <c r="S72" i="2"/>
  <c r="Q72" i="2"/>
  <c r="O72" i="2"/>
  <c r="M72" i="2"/>
  <c r="K72" i="2"/>
  <c r="I72" i="2"/>
  <c r="G72" i="2"/>
  <c r="Y69" i="2"/>
  <c r="W69" i="2"/>
  <c r="U69" i="2"/>
  <c r="S69" i="2"/>
  <c r="Q69" i="2"/>
  <c r="O69" i="2"/>
  <c r="M69" i="2"/>
  <c r="K69" i="2"/>
  <c r="I69" i="2"/>
  <c r="G69" i="2"/>
  <c r="Y66" i="2"/>
  <c r="W66" i="2"/>
  <c r="U66" i="2"/>
  <c r="S66" i="2"/>
  <c r="Q66" i="2"/>
  <c r="O66" i="2"/>
  <c r="M66" i="2"/>
  <c r="K66" i="2"/>
  <c r="I66" i="2"/>
  <c r="G66" i="2"/>
  <c r="Y63" i="2"/>
  <c r="W63" i="2"/>
  <c r="U63" i="2"/>
  <c r="S63" i="2"/>
  <c r="Q63" i="2"/>
  <c r="O63" i="2"/>
  <c r="M63" i="2"/>
  <c r="K63" i="2"/>
  <c r="I63" i="2"/>
  <c r="G63" i="2"/>
  <c r="Y60" i="2"/>
  <c r="W60" i="2"/>
  <c r="U60" i="2"/>
  <c r="S60" i="2"/>
  <c r="Q60" i="2"/>
  <c r="O60" i="2"/>
  <c r="M60" i="2"/>
  <c r="K60" i="2"/>
  <c r="I60" i="2"/>
  <c r="G60" i="2"/>
  <c r="Y57" i="2"/>
  <c r="W57" i="2"/>
  <c r="U57" i="2"/>
  <c r="S57" i="2"/>
  <c r="Q57" i="2"/>
  <c r="O57" i="2"/>
  <c r="M57" i="2"/>
  <c r="K57" i="2"/>
  <c r="I57" i="2"/>
  <c r="G57" i="2"/>
  <c r="Y54" i="2"/>
  <c r="W54" i="2"/>
  <c r="U54" i="2"/>
  <c r="S54" i="2"/>
  <c r="Q54" i="2"/>
  <c r="O54" i="2"/>
  <c r="M54" i="2"/>
  <c r="K54" i="2"/>
  <c r="I54" i="2"/>
  <c r="G54" i="2"/>
  <c r="Y49" i="2"/>
  <c r="W49" i="2"/>
  <c r="U49" i="2"/>
  <c r="S49" i="2"/>
  <c r="Q49" i="2"/>
  <c r="O49" i="2"/>
  <c r="M49" i="2"/>
  <c r="K49" i="2"/>
  <c r="I49" i="2"/>
  <c r="G49" i="2"/>
  <c r="Y46" i="2"/>
  <c r="W46" i="2"/>
  <c r="U46" i="2"/>
  <c r="S46" i="2"/>
  <c r="Q46" i="2"/>
  <c r="O46" i="2"/>
  <c r="M46" i="2"/>
  <c r="K46" i="2"/>
  <c r="I46" i="2"/>
  <c r="G46" i="2"/>
  <c r="Y43" i="2"/>
  <c r="W43" i="2"/>
  <c r="U43" i="2"/>
  <c r="S43" i="2"/>
  <c r="Q43" i="2"/>
  <c r="O43" i="2"/>
  <c r="M43" i="2"/>
  <c r="K43" i="2"/>
  <c r="I43" i="2"/>
  <c r="G43" i="2"/>
  <c r="Y40" i="2"/>
  <c r="W40" i="2"/>
  <c r="U40" i="2"/>
  <c r="S40" i="2"/>
  <c r="Q40" i="2"/>
  <c r="O40" i="2"/>
  <c r="M40" i="2"/>
  <c r="K40" i="2"/>
  <c r="I40" i="2"/>
  <c r="G40" i="2"/>
  <c r="Y37" i="2"/>
  <c r="W37" i="2"/>
  <c r="U37" i="2"/>
  <c r="S37" i="2"/>
  <c r="Q37" i="2"/>
  <c r="O37" i="2"/>
  <c r="M37" i="2"/>
  <c r="K37" i="2"/>
  <c r="I37" i="2"/>
  <c r="G37" i="2"/>
  <c r="Y34" i="2"/>
  <c r="W34" i="2"/>
  <c r="U34" i="2"/>
  <c r="S34" i="2"/>
  <c r="Q34" i="2"/>
  <c r="O34" i="2"/>
  <c r="M34" i="2"/>
  <c r="K34" i="2"/>
  <c r="I34" i="2"/>
  <c r="G34" i="2"/>
  <c r="Y31" i="2"/>
  <c r="W31" i="2"/>
  <c r="U31" i="2"/>
  <c r="S31" i="2"/>
  <c r="Q31" i="2"/>
  <c r="O31" i="2"/>
  <c r="M31" i="2"/>
  <c r="K31" i="2"/>
  <c r="I31" i="2"/>
  <c r="G31" i="2"/>
  <c r="Y28" i="2"/>
  <c r="W28" i="2"/>
  <c r="U28" i="2"/>
  <c r="S28" i="2"/>
  <c r="Q28" i="2"/>
  <c r="O28" i="2"/>
  <c r="M28" i="2"/>
  <c r="K28" i="2"/>
  <c r="I28" i="2"/>
  <c r="G28" i="2"/>
  <c r="Y25" i="2"/>
  <c r="W25" i="2"/>
  <c r="U25" i="2"/>
  <c r="S25" i="2"/>
  <c r="Q25" i="2"/>
  <c r="O25" i="2"/>
  <c r="M25" i="2"/>
  <c r="K25" i="2"/>
  <c r="I25" i="2"/>
  <c r="G25" i="2"/>
  <c r="Y22" i="2"/>
  <c r="W22" i="2"/>
  <c r="U22" i="2"/>
  <c r="S22" i="2"/>
  <c r="Q22" i="2"/>
  <c r="O22" i="2"/>
  <c r="M22" i="2"/>
  <c r="K22" i="2"/>
  <c r="I22" i="2"/>
  <c r="G22" i="2"/>
  <c r="Y19" i="2"/>
  <c r="W19" i="2"/>
  <c r="U19" i="2"/>
  <c r="S19" i="2"/>
  <c r="Q19" i="2"/>
  <c r="O19" i="2"/>
  <c r="M19" i="2"/>
  <c r="K19" i="2"/>
  <c r="I19" i="2"/>
  <c r="G19" i="2"/>
  <c r="Y16" i="2"/>
  <c r="W16" i="2"/>
  <c r="U16" i="2"/>
  <c r="S16" i="2"/>
  <c r="Q16" i="2"/>
  <c r="O16" i="2"/>
  <c r="M16" i="2"/>
  <c r="K16" i="2"/>
  <c r="I16" i="2"/>
  <c r="G16" i="2"/>
  <c r="Y13" i="2"/>
  <c r="W13" i="2"/>
  <c r="U13" i="2"/>
  <c r="S13" i="2"/>
  <c r="Q13" i="2"/>
  <c r="O13" i="2"/>
  <c r="M13" i="2"/>
  <c r="K13" i="2"/>
  <c r="I13" i="2"/>
  <c r="G13" i="2"/>
  <c r="Y10" i="2"/>
  <c r="W10" i="2"/>
  <c r="U10" i="2"/>
  <c r="S10" i="2"/>
  <c r="Q10" i="2"/>
  <c r="O10" i="2"/>
  <c r="M10" i="2"/>
  <c r="K10" i="2"/>
  <c r="I10" i="2"/>
  <c r="G10" i="2"/>
  <c r="C1099" i="1"/>
  <c r="B1099" i="1"/>
  <c r="C1098" i="1"/>
  <c r="B1098" i="1"/>
  <c r="C1097" i="1"/>
  <c r="B1097" i="1"/>
  <c r="C1096" i="1"/>
  <c r="B1096" i="1"/>
  <c r="C1095" i="1"/>
  <c r="B1095" i="1"/>
  <c r="C1094" i="1"/>
  <c r="B1094" i="1"/>
  <c r="C1093" i="1"/>
  <c r="B1093" i="1"/>
  <c r="C1092" i="1"/>
  <c r="B1092" i="1"/>
  <c r="C1091" i="1"/>
  <c r="B1091" i="1"/>
  <c r="C1090" i="1"/>
  <c r="B1090" i="1"/>
  <c r="C1089" i="1"/>
  <c r="B1089" i="1"/>
  <c r="C1088" i="1"/>
  <c r="B1088" i="1"/>
  <c r="C1087" i="1"/>
  <c r="B1087" i="1"/>
  <c r="C1086" i="1"/>
  <c r="B1086" i="1"/>
  <c r="C1085" i="1"/>
  <c r="B1085" i="1"/>
  <c r="C1084" i="1"/>
  <c r="B1084" i="1"/>
  <c r="C1083" i="1"/>
  <c r="B1083" i="1"/>
  <c r="C1082" i="1"/>
  <c r="B1082" i="1"/>
  <c r="C1081" i="1"/>
  <c r="B1081" i="1"/>
  <c r="C1080" i="1"/>
  <c r="B1080" i="1"/>
  <c r="C1079" i="1"/>
  <c r="B1079" i="1"/>
  <c r="C1078" i="1"/>
  <c r="B1078" i="1"/>
  <c r="C1077" i="1"/>
  <c r="B1077" i="1"/>
  <c r="C1076" i="1"/>
  <c r="B1076" i="1"/>
  <c r="C1075" i="1"/>
  <c r="B1075" i="1"/>
  <c r="C1074" i="1"/>
  <c r="B1074" i="1"/>
  <c r="C1073" i="1"/>
  <c r="B1073" i="1"/>
  <c r="C1072" i="1"/>
  <c r="B1072" i="1"/>
  <c r="C1071" i="1"/>
  <c r="B1071" i="1"/>
  <c r="C1070" i="1"/>
  <c r="B1070" i="1"/>
  <c r="C1069" i="1"/>
  <c r="B1069" i="1"/>
  <c r="C1068" i="1"/>
  <c r="B1068" i="1"/>
  <c r="C1067" i="1"/>
  <c r="B1067" i="1"/>
  <c r="C1066" i="1"/>
  <c r="B1066" i="1"/>
  <c r="C1065" i="1"/>
  <c r="B1065" i="1"/>
  <c r="C1064" i="1"/>
  <c r="B1064" i="1"/>
  <c r="C1063" i="1"/>
  <c r="B1063" i="1"/>
  <c r="C1062" i="1"/>
  <c r="B1062" i="1"/>
  <c r="C1061" i="1"/>
  <c r="B1061" i="1"/>
  <c r="C1060" i="1"/>
  <c r="B1060" i="1"/>
  <c r="C1059" i="1"/>
  <c r="B1059" i="1"/>
  <c r="C1058" i="1"/>
  <c r="B1058" i="1"/>
  <c r="C1057" i="1"/>
  <c r="B1057" i="1"/>
  <c r="C1056" i="1"/>
  <c r="B1056" i="1"/>
  <c r="C1055" i="1"/>
  <c r="B1055" i="1"/>
  <c r="C1054" i="1"/>
  <c r="B1054" i="1"/>
  <c r="C1053" i="1"/>
  <c r="B1053" i="1"/>
  <c r="C1052" i="1"/>
  <c r="B1052" i="1"/>
  <c r="C1051" i="1"/>
  <c r="B1051" i="1"/>
  <c r="C1050" i="1"/>
  <c r="B1050" i="1"/>
  <c r="C1049" i="1"/>
  <c r="B1049" i="1"/>
  <c r="C1048" i="1"/>
  <c r="B1048" i="1"/>
  <c r="C1047" i="1"/>
  <c r="B1047" i="1"/>
  <c r="C1046" i="1"/>
  <c r="B1046" i="1"/>
  <c r="C1045" i="1"/>
  <c r="B1045" i="1"/>
  <c r="C1044" i="1"/>
  <c r="B1044" i="1"/>
  <c r="C1043" i="1"/>
  <c r="B1043" i="1"/>
  <c r="C1042" i="1"/>
  <c r="B1042" i="1"/>
  <c r="C1041" i="1"/>
  <c r="B1041" i="1"/>
  <c r="C1040" i="1"/>
  <c r="B1040" i="1"/>
  <c r="C1039" i="1"/>
  <c r="B1039" i="1"/>
  <c r="C1038" i="1"/>
  <c r="B1038" i="1"/>
  <c r="C1037" i="1"/>
  <c r="B1037" i="1"/>
  <c r="C1036" i="1"/>
  <c r="B1036" i="1"/>
  <c r="C1035" i="1"/>
  <c r="B1035" i="1"/>
  <c r="C1034" i="1"/>
  <c r="B1034" i="1"/>
  <c r="C1033" i="1"/>
  <c r="B1033" i="1"/>
  <c r="C1032" i="1"/>
  <c r="B1032" i="1"/>
  <c r="C1031" i="1"/>
  <c r="B1031" i="1"/>
  <c r="C1030" i="1"/>
  <c r="B1030" i="1"/>
  <c r="C1029" i="1"/>
  <c r="B1029" i="1"/>
  <c r="C1028" i="1"/>
  <c r="B1028" i="1"/>
  <c r="C1027" i="1"/>
  <c r="B1027" i="1"/>
  <c r="C1026" i="1"/>
  <c r="B1026" i="1"/>
  <c r="C1025" i="1"/>
  <c r="B1025" i="1"/>
  <c r="C1024" i="1"/>
  <c r="B1024" i="1"/>
  <c r="C1023" i="1"/>
  <c r="B1023" i="1"/>
  <c r="C1022" i="1"/>
  <c r="B1022" i="1"/>
  <c r="C1021" i="1"/>
  <c r="B1021" i="1"/>
  <c r="C1020" i="1"/>
  <c r="B1020" i="1"/>
  <c r="C1019" i="1"/>
  <c r="B1019" i="1"/>
  <c r="C1018" i="1"/>
  <c r="B1018" i="1"/>
  <c r="C1017" i="1"/>
  <c r="B1017" i="1"/>
  <c r="C1016" i="1"/>
  <c r="B1016" i="1"/>
  <c r="C1015" i="1"/>
  <c r="B1015" i="1"/>
  <c r="C1014" i="1"/>
  <c r="B1014" i="1"/>
  <c r="C1013" i="1"/>
  <c r="B1013" i="1"/>
  <c r="C1012" i="1"/>
  <c r="B1012" i="1"/>
  <c r="C1011" i="1"/>
  <c r="B1011" i="1"/>
  <c r="C1010" i="1"/>
  <c r="B1010" i="1"/>
  <c r="C1009" i="1"/>
  <c r="B1009" i="1"/>
  <c r="C1008" i="1"/>
  <c r="B1008" i="1"/>
  <c r="C1007" i="1"/>
  <c r="B1007" i="1"/>
  <c r="C1006" i="1"/>
  <c r="B1006" i="1"/>
  <c r="C1005" i="1"/>
  <c r="B1005" i="1"/>
  <c r="C1004" i="1"/>
  <c r="B1004" i="1"/>
  <c r="C1003" i="1"/>
  <c r="B1003" i="1"/>
  <c r="C1002" i="1"/>
  <c r="B1002" i="1"/>
  <c r="C1001" i="1"/>
  <c r="B1001" i="1"/>
  <c r="C1000" i="1"/>
  <c r="B1000" i="1"/>
  <c r="C999" i="1"/>
  <c r="B999" i="1"/>
  <c r="C998" i="1"/>
  <c r="B998" i="1"/>
  <c r="C997" i="1"/>
  <c r="B997" i="1"/>
  <c r="C996" i="1"/>
  <c r="B996" i="1"/>
  <c r="C995" i="1"/>
  <c r="B995" i="1"/>
  <c r="C994" i="1"/>
  <c r="B994" i="1"/>
  <c r="C993" i="1"/>
  <c r="B993" i="1"/>
  <c r="C992" i="1"/>
  <c r="B992" i="1"/>
  <c r="C991" i="1"/>
  <c r="B991" i="1"/>
  <c r="C990" i="1"/>
  <c r="B990" i="1"/>
  <c r="C989" i="1"/>
  <c r="B989" i="1"/>
  <c r="C988" i="1"/>
  <c r="B988" i="1"/>
  <c r="C987" i="1"/>
  <c r="B987" i="1"/>
  <c r="C986" i="1"/>
  <c r="B986" i="1"/>
  <c r="C985" i="1"/>
  <c r="B985" i="1"/>
  <c r="C984" i="1"/>
  <c r="B984" i="1"/>
  <c r="C983" i="1"/>
  <c r="B983" i="1"/>
  <c r="C982" i="1"/>
  <c r="B982" i="1"/>
  <c r="C981" i="1"/>
  <c r="B981" i="1"/>
  <c r="C980" i="1"/>
  <c r="B980" i="1"/>
  <c r="C979" i="1"/>
  <c r="B979" i="1"/>
  <c r="C978" i="1"/>
  <c r="B978" i="1"/>
  <c r="C977" i="1"/>
  <c r="B977" i="1"/>
  <c r="C976" i="1"/>
  <c r="B976" i="1"/>
  <c r="C975" i="1"/>
  <c r="B975" i="1"/>
  <c r="C974" i="1"/>
  <c r="B974" i="1"/>
  <c r="C973" i="1"/>
  <c r="B973" i="1"/>
  <c r="C972" i="1"/>
  <c r="B972" i="1"/>
  <c r="C971" i="1"/>
  <c r="B971" i="1"/>
  <c r="C970" i="1"/>
  <c r="B970" i="1"/>
  <c r="C969" i="1"/>
  <c r="B969" i="1"/>
  <c r="C968" i="1"/>
  <c r="B968" i="1"/>
  <c r="C967" i="1"/>
  <c r="B967" i="1"/>
  <c r="C966" i="1"/>
  <c r="B966" i="1"/>
  <c r="C965" i="1"/>
  <c r="B965" i="1"/>
  <c r="C964" i="1"/>
  <c r="B964" i="1"/>
  <c r="C963" i="1"/>
  <c r="B963" i="1"/>
  <c r="C962" i="1"/>
  <c r="B962" i="1"/>
  <c r="C961" i="1"/>
  <c r="B961" i="1"/>
  <c r="C960" i="1"/>
  <c r="B960" i="1"/>
  <c r="C959" i="1"/>
  <c r="B959" i="1"/>
  <c r="C958" i="1"/>
  <c r="B958" i="1"/>
  <c r="C957" i="1"/>
  <c r="B957" i="1"/>
  <c r="C956" i="1"/>
  <c r="B956" i="1"/>
  <c r="C955" i="1"/>
  <c r="B955" i="1"/>
  <c r="C954" i="1"/>
  <c r="B954" i="1"/>
  <c r="C953" i="1"/>
  <c r="B953" i="1"/>
  <c r="C952" i="1"/>
  <c r="B952" i="1"/>
  <c r="C951" i="1"/>
  <c r="B951" i="1"/>
  <c r="C950" i="1"/>
  <c r="B950" i="1"/>
  <c r="C949" i="1"/>
  <c r="B949" i="1"/>
  <c r="C948" i="1"/>
  <c r="B948" i="1"/>
  <c r="C947" i="1"/>
  <c r="B947" i="1"/>
  <c r="C946" i="1"/>
  <c r="B946" i="1"/>
  <c r="C945" i="1"/>
  <c r="B945" i="1"/>
  <c r="C944" i="1"/>
  <c r="B944" i="1"/>
  <c r="C943" i="1"/>
  <c r="B943" i="1"/>
  <c r="C942" i="1"/>
  <c r="B942" i="1"/>
  <c r="C941" i="1"/>
  <c r="B941" i="1"/>
  <c r="C940" i="1"/>
  <c r="B940" i="1"/>
  <c r="C939" i="1"/>
  <c r="B939" i="1"/>
  <c r="C938" i="1"/>
  <c r="B938" i="1"/>
  <c r="C937" i="1"/>
  <c r="B937" i="1"/>
  <c r="C936" i="1"/>
  <c r="B936" i="1"/>
  <c r="C935" i="1"/>
  <c r="B935" i="1"/>
  <c r="C934" i="1"/>
  <c r="B934" i="1"/>
  <c r="C933" i="1"/>
  <c r="B933" i="1"/>
  <c r="C932" i="1"/>
  <c r="B932" i="1"/>
  <c r="C931" i="1"/>
  <c r="B931" i="1"/>
  <c r="C930" i="1"/>
  <c r="B930" i="1"/>
  <c r="C929" i="1"/>
  <c r="B929" i="1"/>
  <c r="C928" i="1"/>
  <c r="B928" i="1"/>
  <c r="C927" i="1"/>
  <c r="B927" i="1"/>
  <c r="C926" i="1"/>
  <c r="B926" i="1"/>
  <c r="C925" i="1"/>
  <c r="B925" i="1"/>
  <c r="C924" i="1"/>
  <c r="B924" i="1"/>
  <c r="C923" i="1"/>
  <c r="B923" i="1"/>
  <c r="C922" i="1"/>
  <c r="B922" i="1"/>
  <c r="C921" i="1"/>
  <c r="B921" i="1"/>
  <c r="C920" i="1"/>
  <c r="B920" i="1"/>
  <c r="C919" i="1"/>
  <c r="B919" i="1"/>
  <c r="C918" i="1"/>
  <c r="B918" i="1"/>
  <c r="C917" i="1"/>
  <c r="B917" i="1"/>
  <c r="C916" i="1"/>
  <c r="B916" i="1"/>
  <c r="C915" i="1"/>
  <c r="B915" i="1"/>
  <c r="C914" i="1"/>
  <c r="B914" i="1"/>
  <c r="C913" i="1"/>
  <c r="B913" i="1"/>
  <c r="C912" i="1"/>
  <c r="B912" i="1"/>
  <c r="C911" i="1"/>
  <c r="B911" i="1"/>
  <c r="C910" i="1"/>
  <c r="B910" i="1"/>
  <c r="C909" i="1"/>
  <c r="B909" i="1"/>
  <c r="C908" i="1"/>
  <c r="B908" i="1"/>
  <c r="C907" i="1"/>
  <c r="B907" i="1"/>
  <c r="C906" i="1"/>
  <c r="B906" i="1"/>
  <c r="C905" i="1"/>
  <c r="B905" i="1"/>
  <c r="C904" i="1"/>
  <c r="B904" i="1"/>
  <c r="C903" i="1"/>
  <c r="B903" i="1"/>
  <c r="C902" i="1"/>
  <c r="B902" i="1"/>
  <c r="C901" i="1"/>
  <c r="B901" i="1"/>
  <c r="C900" i="1"/>
  <c r="B900" i="1"/>
  <c r="C899" i="1"/>
  <c r="B899" i="1"/>
  <c r="C898" i="1"/>
  <c r="B898" i="1"/>
  <c r="C897" i="1"/>
  <c r="B897" i="1"/>
  <c r="C896" i="1"/>
  <c r="B896" i="1"/>
  <c r="C895" i="1"/>
  <c r="B895" i="1"/>
  <c r="C894" i="1"/>
  <c r="B894" i="1"/>
  <c r="C893" i="1"/>
  <c r="B893" i="1"/>
  <c r="C892" i="1"/>
  <c r="B892" i="1"/>
  <c r="C891" i="1"/>
  <c r="B891" i="1"/>
  <c r="C890" i="1"/>
  <c r="B890" i="1"/>
  <c r="C889" i="1"/>
  <c r="B889" i="1"/>
  <c r="C888" i="1"/>
  <c r="B888" i="1"/>
  <c r="C887" i="1"/>
  <c r="B887" i="1"/>
  <c r="C886" i="1"/>
  <c r="B886" i="1"/>
  <c r="C885" i="1"/>
  <c r="B885" i="1"/>
  <c r="C884" i="1"/>
  <c r="B884" i="1"/>
  <c r="C883" i="1"/>
  <c r="B883" i="1"/>
  <c r="C882" i="1"/>
  <c r="B882" i="1"/>
  <c r="C881" i="1"/>
  <c r="B881" i="1"/>
  <c r="C880" i="1"/>
  <c r="B880" i="1"/>
  <c r="C879" i="1"/>
  <c r="B879" i="1"/>
  <c r="C878" i="1"/>
  <c r="B878" i="1"/>
  <c r="C877" i="1"/>
  <c r="B877" i="1"/>
  <c r="C876" i="1"/>
  <c r="B876" i="1"/>
  <c r="C875" i="1"/>
  <c r="B875" i="1"/>
  <c r="C874" i="1"/>
  <c r="B874" i="1"/>
  <c r="C873" i="1"/>
  <c r="B873" i="1"/>
  <c r="C872" i="1"/>
  <c r="B872" i="1"/>
  <c r="C871" i="1"/>
  <c r="B871" i="1"/>
  <c r="C870" i="1"/>
  <c r="B870" i="1"/>
  <c r="C869" i="1"/>
  <c r="B869" i="1"/>
  <c r="C868" i="1"/>
  <c r="B868" i="1"/>
  <c r="C867" i="1"/>
  <c r="B867" i="1"/>
  <c r="C866" i="1"/>
  <c r="B866" i="1"/>
  <c r="C865" i="1"/>
  <c r="B865" i="1"/>
  <c r="C864" i="1"/>
  <c r="B864" i="1"/>
  <c r="C863" i="1"/>
  <c r="B863" i="1"/>
  <c r="C862" i="1"/>
  <c r="B862" i="1"/>
  <c r="C861" i="1"/>
  <c r="B861" i="1"/>
  <c r="C860" i="1"/>
  <c r="B860" i="1"/>
  <c r="C859" i="1"/>
  <c r="B859" i="1"/>
  <c r="C858" i="1"/>
  <c r="B858" i="1"/>
  <c r="C857" i="1"/>
  <c r="B857" i="1"/>
  <c r="C856" i="1"/>
  <c r="B856" i="1"/>
  <c r="C855" i="1"/>
  <c r="B855" i="1"/>
  <c r="C854" i="1"/>
  <c r="B854" i="1"/>
  <c r="C853" i="1"/>
  <c r="B853" i="1"/>
  <c r="C852" i="1"/>
  <c r="B852" i="1"/>
  <c r="C851" i="1"/>
  <c r="B851" i="1"/>
  <c r="C850" i="1"/>
  <c r="B850" i="1"/>
  <c r="C849" i="1"/>
  <c r="B849" i="1"/>
  <c r="C848" i="1"/>
  <c r="B848" i="1"/>
  <c r="C847" i="1"/>
  <c r="B847" i="1"/>
  <c r="C846" i="1"/>
  <c r="B846" i="1"/>
  <c r="C845" i="1"/>
  <c r="B845" i="1"/>
  <c r="C844" i="1"/>
  <c r="B844" i="1"/>
  <c r="C843" i="1"/>
  <c r="B843" i="1"/>
  <c r="C842" i="1"/>
  <c r="B842" i="1"/>
  <c r="C841" i="1"/>
  <c r="B841" i="1"/>
  <c r="C840" i="1"/>
  <c r="B840" i="1"/>
  <c r="C839" i="1"/>
  <c r="B839" i="1"/>
  <c r="C838" i="1"/>
  <c r="B838" i="1"/>
  <c r="C837" i="1"/>
  <c r="B837" i="1"/>
  <c r="C836" i="1"/>
  <c r="B836" i="1"/>
  <c r="C835" i="1"/>
  <c r="B835" i="1"/>
  <c r="C834" i="1"/>
  <c r="B834" i="1"/>
  <c r="C833" i="1"/>
  <c r="B833" i="1"/>
  <c r="C832" i="1"/>
  <c r="B832" i="1"/>
  <c r="C831" i="1"/>
  <c r="B831" i="1"/>
  <c r="C830" i="1"/>
  <c r="B830" i="1"/>
  <c r="C829" i="1"/>
  <c r="B829" i="1"/>
  <c r="C828" i="1"/>
  <c r="B828" i="1"/>
  <c r="C827" i="1"/>
  <c r="B827" i="1"/>
  <c r="C826" i="1"/>
  <c r="B826" i="1"/>
  <c r="C825" i="1"/>
  <c r="B825" i="1"/>
  <c r="C824" i="1"/>
  <c r="B824" i="1"/>
  <c r="C823" i="1"/>
  <c r="B823" i="1"/>
  <c r="C822" i="1"/>
  <c r="B822" i="1"/>
  <c r="C821" i="1"/>
  <c r="B821" i="1"/>
  <c r="C820" i="1"/>
  <c r="B820" i="1"/>
  <c r="C819" i="1"/>
  <c r="B819" i="1"/>
  <c r="C818" i="1"/>
  <c r="B818" i="1"/>
  <c r="C817" i="1"/>
  <c r="B817" i="1"/>
  <c r="C816" i="1"/>
  <c r="B816" i="1"/>
  <c r="C815" i="1"/>
  <c r="B815" i="1"/>
  <c r="C814" i="1"/>
  <c r="B814" i="1"/>
  <c r="C813" i="1"/>
  <c r="B813" i="1"/>
  <c r="C812" i="1"/>
  <c r="B812" i="1"/>
  <c r="C811" i="1"/>
  <c r="B811" i="1"/>
  <c r="C810" i="1"/>
  <c r="B810" i="1"/>
  <c r="C809" i="1"/>
  <c r="B809" i="1"/>
  <c r="C808" i="1"/>
  <c r="B808" i="1"/>
  <c r="C807" i="1"/>
  <c r="B807" i="1"/>
  <c r="C806" i="1"/>
  <c r="B806" i="1"/>
  <c r="C805" i="1"/>
  <c r="B805" i="1"/>
  <c r="C804" i="1"/>
  <c r="B804" i="1"/>
  <c r="C803" i="1"/>
  <c r="B803" i="1"/>
  <c r="C802" i="1"/>
  <c r="B802" i="1"/>
  <c r="C801" i="1"/>
  <c r="B801" i="1"/>
  <c r="C800" i="1"/>
  <c r="B800" i="1"/>
  <c r="C799" i="1"/>
  <c r="B799" i="1"/>
  <c r="C798" i="1"/>
  <c r="B798" i="1"/>
  <c r="C797" i="1"/>
  <c r="B797" i="1"/>
  <c r="C796" i="1"/>
  <c r="B796" i="1"/>
  <c r="C795" i="1"/>
  <c r="B795" i="1"/>
  <c r="C794" i="1"/>
  <c r="B794" i="1"/>
  <c r="C793" i="1"/>
  <c r="B793" i="1"/>
  <c r="C792" i="1"/>
  <c r="B792" i="1"/>
  <c r="C791" i="1"/>
  <c r="B791" i="1"/>
  <c r="C790" i="1"/>
  <c r="B790" i="1"/>
  <c r="C789" i="1"/>
  <c r="B789" i="1"/>
  <c r="C788" i="1"/>
  <c r="B788" i="1"/>
  <c r="C787" i="1"/>
  <c r="B787" i="1"/>
  <c r="C786" i="1"/>
  <c r="B786" i="1"/>
  <c r="C785" i="1"/>
  <c r="B785" i="1"/>
  <c r="C784" i="1"/>
  <c r="B784" i="1"/>
  <c r="C783" i="1"/>
  <c r="B783" i="1"/>
  <c r="C782" i="1"/>
  <c r="B782" i="1"/>
  <c r="C781" i="1"/>
  <c r="B781" i="1"/>
  <c r="C780" i="1"/>
  <c r="B780" i="1"/>
  <c r="C779" i="1"/>
  <c r="B779" i="1"/>
  <c r="C778" i="1"/>
  <c r="B778" i="1"/>
  <c r="C777" i="1"/>
  <c r="B777" i="1"/>
  <c r="C776" i="1"/>
  <c r="B776" i="1"/>
  <c r="C775" i="1"/>
  <c r="B775" i="1"/>
  <c r="C774" i="1"/>
  <c r="B774" i="1"/>
  <c r="C773" i="1"/>
  <c r="B773" i="1"/>
  <c r="C772" i="1"/>
  <c r="B772" i="1"/>
  <c r="C771" i="1"/>
  <c r="B771" i="1"/>
  <c r="C770" i="1"/>
  <c r="B770" i="1"/>
  <c r="C769" i="1"/>
  <c r="B769" i="1"/>
  <c r="C768" i="1"/>
  <c r="B768" i="1"/>
  <c r="C767" i="1"/>
  <c r="B767" i="1"/>
  <c r="C766" i="1"/>
  <c r="B766" i="1"/>
  <c r="C765" i="1"/>
  <c r="B765" i="1"/>
  <c r="C764" i="1"/>
  <c r="B764" i="1"/>
  <c r="C763" i="1"/>
  <c r="B763" i="1"/>
  <c r="C762" i="1"/>
  <c r="B762" i="1"/>
  <c r="C761" i="1"/>
  <c r="B761" i="1"/>
  <c r="C760" i="1"/>
  <c r="B760" i="1"/>
  <c r="C759" i="1"/>
  <c r="B759" i="1"/>
  <c r="C758" i="1"/>
  <c r="B758" i="1"/>
  <c r="C757" i="1"/>
  <c r="B757" i="1"/>
  <c r="C756" i="1"/>
  <c r="B756" i="1"/>
  <c r="C755" i="1"/>
  <c r="B755" i="1"/>
  <c r="C754" i="1"/>
  <c r="B754" i="1"/>
  <c r="C753" i="1"/>
  <c r="B753" i="1"/>
  <c r="C752" i="1"/>
  <c r="B752" i="1"/>
  <c r="C751" i="1"/>
  <c r="B751" i="1"/>
  <c r="C750" i="1"/>
  <c r="B750" i="1"/>
  <c r="C749" i="1"/>
  <c r="B749" i="1"/>
  <c r="C748" i="1"/>
  <c r="B748" i="1"/>
  <c r="C747" i="1"/>
  <c r="B747" i="1"/>
  <c r="C746" i="1"/>
  <c r="B746" i="1"/>
  <c r="C745" i="1"/>
  <c r="B745" i="1"/>
  <c r="C744" i="1"/>
  <c r="B744" i="1"/>
  <c r="C743" i="1"/>
  <c r="B743" i="1"/>
  <c r="C742" i="1"/>
  <c r="B742" i="1"/>
  <c r="C741" i="1"/>
  <c r="B741" i="1"/>
  <c r="C740" i="1"/>
  <c r="B740" i="1"/>
  <c r="C739" i="1"/>
  <c r="B739" i="1"/>
  <c r="C738" i="1"/>
  <c r="B738" i="1"/>
  <c r="C737" i="1"/>
  <c r="B737" i="1"/>
  <c r="C736" i="1"/>
  <c r="B736" i="1"/>
  <c r="C735" i="1"/>
  <c r="B735" i="1"/>
  <c r="C734" i="1"/>
  <c r="B734" i="1"/>
  <c r="C733" i="1"/>
  <c r="B733" i="1"/>
  <c r="C732" i="1"/>
  <c r="B732" i="1"/>
  <c r="C731" i="1"/>
  <c r="B731" i="1"/>
  <c r="C730" i="1"/>
  <c r="B730" i="1"/>
  <c r="C729" i="1"/>
  <c r="B729" i="1"/>
  <c r="C728" i="1"/>
  <c r="B728" i="1"/>
  <c r="C727" i="1"/>
  <c r="B727" i="1"/>
  <c r="C726" i="1"/>
  <c r="B726" i="1"/>
  <c r="C725" i="1"/>
  <c r="B725" i="1"/>
  <c r="C724" i="1"/>
  <c r="B724" i="1"/>
  <c r="C723" i="1"/>
  <c r="B723" i="1"/>
  <c r="C722" i="1"/>
  <c r="B722" i="1"/>
  <c r="C721" i="1"/>
  <c r="B721" i="1"/>
  <c r="C720" i="1"/>
  <c r="B720" i="1"/>
  <c r="C719" i="1"/>
  <c r="B719" i="1"/>
  <c r="C718" i="1"/>
  <c r="B718" i="1"/>
  <c r="C717" i="1"/>
  <c r="B717" i="1"/>
  <c r="C716" i="1"/>
  <c r="B716" i="1"/>
  <c r="C715" i="1"/>
  <c r="B715" i="1"/>
  <c r="C714" i="1"/>
  <c r="B714" i="1"/>
  <c r="C713" i="1"/>
  <c r="B713" i="1"/>
  <c r="C712" i="1"/>
  <c r="B712" i="1"/>
  <c r="C711" i="1"/>
  <c r="B711" i="1"/>
  <c r="C710" i="1"/>
  <c r="B710" i="1"/>
  <c r="C709" i="1"/>
  <c r="B709" i="1"/>
  <c r="C708" i="1"/>
  <c r="B708" i="1"/>
  <c r="C707" i="1"/>
  <c r="B707" i="1"/>
  <c r="C706" i="1"/>
  <c r="B706" i="1"/>
  <c r="C705" i="1"/>
  <c r="B705" i="1"/>
  <c r="C704" i="1"/>
  <c r="B704" i="1"/>
  <c r="C703" i="1"/>
  <c r="B703" i="1"/>
  <c r="C702" i="1"/>
  <c r="B702" i="1"/>
  <c r="C701" i="1"/>
  <c r="B701" i="1"/>
  <c r="C700" i="1"/>
  <c r="B700" i="1"/>
  <c r="C699" i="1"/>
  <c r="B699" i="1"/>
  <c r="C698" i="1"/>
  <c r="B698" i="1"/>
  <c r="C697" i="1"/>
  <c r="B697" i="1"/>
  <c r="C696" i="1"/>
  <c r="B696" i="1"/>
  <c r="C695" i="1"/>
  <c r="B695" i="1"/>
  <c r="C694" i="1"/>
  <c r="B694" i="1"/>
  <c r="C693" i="1"/>
  <c r="B693" i="1"/>
  <c r="C692" i="1"/>
  <c r="B692" i="1"/>
  <c r="C691" i="1"/>
  <c r="B691" i="1"/>
  <c r="C690" i="1"/>
  <c r="B690" i="1"/>
  <c r="C689" i="1"/>
  <c r="B689" i="1"/>
  <c r="C688" i="1"/>
  <c r="B688" i="1"/>
  <c r="C687" i="1"/>
  <c r="B687" i="1"/>
  <c r="C686" i="1"/>
  <c r="B686" i="1"/>
  <c r="C685" i="1"/>
  <c r="B685" i="1"/>
  <c r="C684" i="1"/>
  <c r="B684" i="1"/>
  <c r="C683" i="1"/>
  <c r="B683" i="1"/>
  <c r="C682" i="1"/>
  <c r="B682" i="1"/>
  <c r="C681" i="1"/>
  <c r="B681" i="1"/>
  <c r="C680" i="1"/>
  <c r="B680" i="1"/>
  <c r="C679" i="1"/>
  <c r="B679" i="1"/>
  <c r="C678" i="1"/>
  <c r="B678" i="1"/>
  <c r="C677" i="1"/>
  <c r="B677" i="1"/>
  <c r="C676" i="1"/>
  <c r="B676" i="1"/>
  <c r="C675" i="1"/>
  <c r="B675" i="1"/>
  <c r="C674" i="1"/>
  <c r="B674" i="1"/>
  <c r="C673" i="1"/>
  <c r="B673" i="1"/>
  <c r="C672" i="1"/>
  <c r="B672" i="1"/>
  <c r="C671" i="1"/>
  <c r="B671" i="1"/>
  <c r="C670" i="1"/>
  <c r="B670" i="1"/>
  <c r="C669" i="1"/>
  <c r="B669" i="1"/>
  <c r="C668" i="1"/>
  <c r="B668" i="1"/>
  <c r="C667" i="1"/>
  <c r="B667" i="1"/>
  <c r="C666" i="1"/>
  <c r="B666" i="1"/>
  <c r="C665" i="1"/>
  <c r="B665" i="1"/>
  <c r="C664" i="1"/>
  <c r="B664" i="1"/>
  <c r="C663" i="1"/>
  <c r="B663" i="1"/>
  <c r="C662" i="1"/>
  <c r="B662" i="1"/>
  <c r="C661" i="1"/>
  <c r="B661" i="1"/>
  <c r="C660" i="1"/>
  <c r="B660" i="1"/>
  <c r="C659" i="1"/>
  <c r="B659" i="1"/>
  <c r="C658" i="1"/>
  <c r="B658" i="1"/>
  <c r="C657" i="1"/>
  <c r="B657" i="1"/>
  <c r="C656" i="1"/>
  <c r="B656" i="1"/>
  <c r="C655" i="1"/>
  <c r="B655" i="1"/>
  <c r="C654" i="1"/>
  <c r="B654" i="1"/>
  <c r="C653" i="1"/>
  <c r="B653" i="1"/>
  <c r="C652" i="1"/>
  <c r="B652" i="1"/>
  <c r="C651" i="1"/>
  <c r="B651" i="1"/>
  <c r="C650" i="1"/>
  <c r="B650" i="1"/>
  <c r="C649" i="1"/>
  <c r="B649" i="1"/>
  <c r="C648" i="1"/>
  <c r="B648" i="1"/>
  <c r="C647" i="1"/>
  <c r="B647" i="1"/>
  <c r="C646" i="1"/>
  <c r="B646" i="1"/>
  <c r="C645" i="1"/>
  <c r="B645" i="1"/>
  <c r="C644" i="1"/>
  <c r="B644" i="1"/>
  <c r="C643" i="1"/>
  <c r="B643" i="1"/>
  <c r="C642" i="1"/>
  <c r="B642" i="1"/>
  <c r="C641" i="1"/>
  <c r="B641" i="1"/>
  <c r="C640" i="1"/>
  <c r="B640" i="1"/>
  <c r="C639" i="1"/>
  <c r="B639" i="1"/>
  <c r="C638" i="1"/>
  <c r="B638" i="1"/>
  <c r="C637" i="1"/>
  <c r="B637" i="1"/>
  <c r="C636" i="1"/>
  <c r="B636" i="1"/>
  <c r="C635" i="1"/>
  <c r="B635" i="1"/>
  <c r="C634" i="1"/>
  <c r="B634" i="1"/>
  <c r="C633" i="1"/>
  <c r="B633" i="1"/>
  <c r="C632" i="1"/>
  <c r="B632" i="1"/>
  <c r="C631" i="1"/>
  <c r="B631" i="1"/>
  <c r="C630" i="1"/>
  <c r="B630" i="1"/>
  <c r="C629" i="1"/>
  <c r="B629" i="1"/>
  <c r="C628" i="1"/>
  <c r="B628" i="1"/>
  <c r="C627" i="1"/>
  <c r="B627" i="1"/>
  <c r="C626" i="1"/>
  <c r="B626" i="1"/>
  <c r="C625" i="1"/>
  <c r="B625" i="1"/>
  <c r="C624" i="1"/>
  <c r="B624" i="1"/>
  <c r="C623" i="1"/>
  <c r="B623" i="1"/>
  <c r="C622" i="1"/>
  <c r="B622" i="1"/>
  <c r="C621" i="1"/>
  <c r="B621" i="1"/>
  <c r="C620" i="1"/>
  <c r="B620" i="1"/>
  <c r="C619" i="1"/>
  <c r="B619" i="1"/>
  <c r="C618" i="1"/>
  <c r="B618" i="1"/>
  <c r="C617" i="1"/>
  <c r="B617" i="1"/>
  <c r="C616" i="1"/>
  <c r="B616" i="1"/>
  <c r="C615" i="1"/>
  <c r="B615" i="1"/>
  <c r="C614" i="1"/>
  <c r="B614" i="1"/>
  <c r="C613" i="1"/>
  <c r="B613" i="1"/>
  <c r="C612" i="1"/>
  <c r="B612" i="1"/>
  <c r="C611" i="1"/>
  <c r="B611" i="1"/>
  <c r="C610" i="1"/>
  <c r="B610" i="1"/>
  <c r="C609" i="1"/>
  <c r="B609" i="1"/>
  <c r="C608" i="1"/>
  <c r="B608" i="1"/>
  <c r="C607" i="1"/>
  <c r="B607" i="1"/>
  <c r="C606" i="1"/>
  <c r="B606" i="1"/>
  <c r="C605" i="1"/>
  <c r="B605" i="1"/>
  <c r="C604" i="1"/>
  <c r="B604" i="1"/>
  <c r="C603" i="1"/>
  <c r="B603" i="1"/>
  <c r="C602" i="1"/>
  <c r="B602" i="1"/>
  <c r="C601" i="1"/>
  <c r="B601" i="1"/>
  <c r="C600" i="1"/>
  <c r="B600" i="1"/>
  <c r="C599" i="1"/>
  <c r="B599" i="1"/>
  <c r="C598" i="1"/>
  <c r="B598" i="1"/>
  <c r="C597" i="1"/>
  <c r="B597" i="1"/>
  <c r="C596" i="1"/>
  <c r="B596" i="1"/>
  <c r="C595" i="1"/>
  <c r="B595" i="1"/>
  <c r="C594" i="1"/>
  <c r="B594" i="1"/>
  <c r="C593" i="1"/>
  <c r="B593" i="1"/>
  <c r="C592" i="1"/>
  <c r="B592" i="1"/>
  <c r="C591" i="1"/>
  <c r="B591" i="1"/>
  <c r="C590" i="1"/>
  <c r="B590" i="1"/>
  <c r="C589" i="1"/>
  <c r="B589" i="1"/>
  <c r="C588" i="1"/>
  <c r="B588" i="1"/>
  <c r="C587" i="1"/>
  <c r="B587" i="1"/>
  <c r="C586" i="1"/>
  <c r="B586" i="1"/>
  <c r="C585" i="1"/>
  <c r="B585" i="1"/>
  <c r="C584" i="1"/>
  <c r="B584" i="1"/>
  <c r="C583" i="1"/>
  <c r="B583" i="1"/>
  <c r="C582" i="1"/>
  <c r="B582" i="1"/>
  <c r="C581" i="1"/>
  <c r="B581" i="1"/>
  <c r="C580" i="1"/>
  <c r="B580" i="1"/>
  <c r="C579" i="1"/>
  <c r="B579" i="1"/>
  <c r="C578" i="1"/>
  <c r="B578" i="1"/>
  <c r="C577" i="1"/>
  <c r="B577" i="1"/>
  <c r="C576" i="1"/>
  <c r="B576" i="1"/>
  <c r="C575" i="1"/>
  <c r="B575" i="1"/>
  <c r="C574" i="1"/>
  <c r="B574" i="1"/>
  <c r="C573" i="1"/>
  <c r="B573" i="1"/>
  <c r="C572" i="1"/>
  <c r="B572" i="1"/>
  <c r="C571" i="1"/>
  <c r="B571" i="1"/>
  <c r="C570" i="1"/>
  <c r="B570" i="1"/>
  <c r="C569" i="1"/>
  <c r="B569" i="1"/>
  <c r="C568" i="1"/>
  <c r="B568" i="1"/>
  <c r="C567" i="1"/>
  <c r="B567" i="1"/>
  <c r="C566" i="1"/>
  <c r="B566" i="1"/>
  <c r="C565" i="1"/>
  <c r="B565" i="1"/>
  <c r="C564" i="1"/>
  <c r="B564" i="1"/>
  <c r="C563" i="1"/>
  <c r="B563" i="1"/>
  <c r="C562" i="1"/>
  <c r="B562" i="1"/>
  <c r="C561" i="1"/>
  <c r="B561" i="1"/>
  <c r="C560" i="1"/>
  <c r="B560" i="1"/>
  <c r="C559" i="1"/>
  <c r="B559" i="1"/>
  <c r="C558" i="1"/>
  <c r="B558" i="1"/>
  <c r="C557" i="1"/>
  <c r="B557" i="1"/>
  <c r="C556" i="1"/>
  <c r="B556" i="1"/>
  <c r="C553" i="1"/>
  <c r="B553" i="1"/>
  <c r="C550" i="1"/>
  <c r="B550" i="1"/>
  <c r="C547" i="1"/>
  <c r="B547" i="1"/>
  <c r="C544" i="1"/>
  <c r="B544" i="1"/>
  <c r="C541" i="1"/>
  <c r="B541" i="1"/>
  <c r="C538" i="1"/>
  <c r="B538" i="1"/>
  <c r="C535" i="1"/>
  <c r="B535" i="1"/>
  <c r="C532" i="1"/>
  <c r="B532" i="1"/>
  <c r="C529" i="1"/>
  <c r="B529" i="1"/>
  <c r="C526" i="1"/>
  <c r="B526" i="1"/>
  <c r="C523" i="1"/>
  <c r="B523" i="1"/>
  <c r="B521" i="1"/>
  <c r="C520" i="1"/>
  <c r="B520" i="1"/>
  <c r="C517" i="1"/>
  <c r="B517" i="1"/>
  <c r="C514" i="1"/>
  <c r="B514" i="1"/>
  <c r="C511" i="1"/>
  <c r="B511" i="1"/>
  <c r="C508" i="1"/>
  <c r="B508" i="1"/>
  <c r="C505" i="1"/>
  <c r="B505" i="1"/>
  <c r="C502" i="1"/>
  <c r="B502" i="1"/>
  <c r="C499" i="1"/>
  <c r="B499" i="1"/>
  <c r="C496" i="1"/>
  <c r="B496" i="1"/>
  <c r="C493" i="1"/>
  <c r="B493" i="1"/>
  <c r="C490" i="1"/>
  <c r="B490" i="1"/>
  <c r="C487" i="1"/>
  <c r="B487" i="1"/>
  <c r="C484" i="1"/>
  <c r="B484" i="1"/>
  <c r="C481" i="1"/>
  <c r="B481" i="1"/>
  <c r="C478" i="1"/>
  <c r="B478" i="1"/>
  <c r="C475" i="1"/>
  <c r="B475" i="1"/>
  <c r="C472" i="1"/>
  <c r="B472" i="1"/>
  <c r="C469" i="1"/>
  <c r="B469" i="1"/>
  <c r="C466" i="1"/>
  <c r="B466" i="1"/>
  <c r="C463" i="1"/>
  <c r="B463" i="1"/>
  <c r="C460" i="1"/>
  <c r="B460" i="1"/>
  <c r="C457" i="1"/>
  <c r="B457" i="1"/>
  <c r="C454" i="1"/>
  <c r="B454" i="1"/>
  <c r="C451" i="1"/>
  <c r="B451" i="1"/>
  <c r="C448" i="1"/>
  <c r="B448" i="1"/>
  <c r="C445" i="1"/>
  <c r="B445" i="1"/>
  <c r="C442" i="1"/>
  <c r="B442" i="1"/>
  <c r="C439" i="1"/>
  <c r="B439" i="1"/>
  <c r="C436" i="1"/>
  <c r="B436" i="1"/>
  <c r="C433" i="1"/>
  <c r="B433" i="1"/>
  <c r="C430" i="1"/>
  <c r="B430" i="1"/>
  <c r="C427" i="1"/>
  <c r="B427" i="1"/>
  <c r="C424" i="1"/>
  <c r="B424" i="1"/>
  <c r="C421" i="1"/>
  <c r="B421" i="1"/>
  <c r="C418" i="1"/>
  <c r="B418" i="1"/>
  <c r="C415" i="1"/>
  <c r="B415" i="1"/>
  <c r="C412" i="1"/>
  <c r="B412" i="1"/>
  <c r="C409" i="1"/>
  <c r="B409" i="1"/>
  <c r="C406" i="1"/>
  <c r="B406" i="1"/>
  <c r="C403" i="1"/>
  <c r="B403" i="1"/>
  <c r="C400" i="1"/>
  <c r="B400" i="1"/>
  <c r="C397" i="1"/>
  <c r="B397" i="1"/>
  <c r="C394" i="1"/>
  <c r="B394" i="1"/>
  <c r="C391" i="1"/>
  <c r="B391" i="1"/>
  <c r="C388" i="1"/>
  <c r="B388" i="1"/>
  <c r="C385" i="1"/>
  <c r="B385" i="1"/>
  <c r="C382" i="1"/>
  <c r="B382" i="1"/>
  <c r="C379" i="1"/>
  <c r="B379" i="1"/>
  <c r="C376" i="1"/>
  <c r="B376" i="1"/>
  <c r="C373" i="1"/>
  <c r="B373" i="1"/>
  <c r="C370" i="1"/>
  <c r="B370" i="1"/>
  <c r="C367" i="1"/>
  <c r="B367" i="1"/>
  <c r="C364" i="1"/>
  <c r="B364" i="1"/>
  <c r="C361" i="1"/>
  <c r="B361" i="1"/>
  <c r="C358" i="1"/>
  <c r="B358" i="1"/>
  <c r="C355" i="1"/>
  <c r="B355" i="1"/>
  <c r="C352" i="1"/>
  <c r="B352" i="1"/>
  <c r="C349" i="1"/>
  <c r="B349" i="1"/>
  <c r="C346" i="1"/>
  <c r="B346" i="1"/>
  <c r="C343" i="1"/>
  <c r="B343" i="1"/>
  <c r="C340" i="1"/>
  <c r="B340" i="1"/>
  <c r="C337" i="1"/>
  <c r="B337" i="1"/>
  <c r="C334" i="1"/>
  <c r="B334" i="1"/>
  <c r="C331" i="1"/>
  <c r="B331" i="1"/>
  <c r="C328" i="1"/>
  <c r="B328" i="1"/>
  <c r="C325" i="1"/>
  <c r="B325" i="1"/>
  <c r="C322" i="1"/>
  <c r="B322" i="1"/>
  <c r="C319" i="1"/>
  <c r="B319" i="1"/>
  <c r="C316" i="1"/>
  <c r="B316" i="1"/>
  <c r="C313" i="1"/>
  <c r="B313" i="1"/>
  <c r="C310" i="1"/>
  <c r="B310" i="1"/>
  <c r="C307" i="1"/>
  <c r="B307" i="1"/>
  <c r="C304" i="1"/>
  <c r="B304" i="1"/>
  <c r="C301" i="1"/>
  <c r="B301" i="1"/>
  <c r="C298" i="1"/>
  <c r="B298" i="1"/>
  <c r="C295" i="1"/>
  <c r="B295" i="1"/>
  <c r="C292" i="1"/>
  <c r="B292" i="1"/>
  <c r="C289" i="1"/>
  <c r="B289" i="1"/>
  <c r="C286" i="1"/>
  <c r="B286" i="1"/>
  <c r="C283" i="1"/>
  <c r="B283" i="1"/>
  <c r="C280" i="1"/>
  <c r="B280" i="1"/>
  <c r="C277" i="1"/>
  <c r="B277" i="1"/>
  <c r="C274" i="1"/>
  <c r="B274" i="1"/>
  <c r="C271" i="1"/>
  <c r="B271" i="1"/>
  <c r="C268" i="1"/>
  <c r="B268" i="1"/>
  <c r="C265" i="1"/>
  <c r="B265" i="1"/>
  <c r="C262" i="1"/>
  <c r="B262" i="1"/>
  <c r="C259" i="1"/>
  <c r="B259" i="1"/>
  <c r="C256" i="1"/>
  <c r="B256" i="1"/>
  <c r="C253" i="1"/>
  <c r="B253" i="1"/>
  <c r="C250" i="1"/>
  <c r="B250" i="1"/>
  <c r="C247" i="1"/>
  <c r="B247" i="1"/>
  <c r="C244" i="1"/>
  <c r="B244" i="1"/>
  <c r="C241" i="1"/>
  <c r="B241" i="1"/>
  <c r="C238" i="1"/>
  <c r="B238" i="1"/>
  <c r="C235" i="1"/>
  <c r="B235" i="1"/>
  <c r="C232" i="1"/>
  <c r="B232" i="1"/>
  <c r="C229" i="1"/>
  <c r="B229" i="1"/>
  <c r="C226" i="1"/>
  <c r="B226" i="1"/>
  <c r="C223" i="1"/>
  <c r="B223" i="1"/>
  <c r="C220" i="1"/>
  <c r="B220" i="1"/>
  <c r="C217" i="1"/>
  <c r="B217" i="1"/>
  <c r="C214" i="1"/>
  <c r="B214" i="1"/>
  <c r="C211" i="1"/>
  <c r="B211" i="1"/>
  <c r="C208" i="1"/>
  <c r="B208" i="1"/>
  <c r="C205" i="1"/>
  <c r="B205" i="1"/>
  <c r="C202" i="1"/>
  <c r="B202" i="1"/>
  <c r="C199" i="1"/>
  <c r="B199" i="1"/>
  <c r="C196" i="1"/>
  <c r="B196" i="1"/>
  <c r="C193" i="1"/>
  <c r="B193" i="1"/>
  <c r="C190" i="1"/>
  <c r="B190" i="1"/>
  <c r="C187" i="1"/>
  <c r="B187" i="1"/>
  <c r="C184" i="1"/>
  <c r="B184" i="1"/>
  <c r="C181" i="1"/>
  <c r="B181" i="1"/>
  <c r="C178" i="1"/>
  <c r="B178" i="1"/>
  <c r="C175" i="1"/>
  <c r="B175" i="1"/>
  <c r="C172" i="1"/>
  <c r="B172" i="1"/>
  <c r="C169" i="1"/>
  <c r="B169" i="1"/>
  <c r="C166" i="1"/>
  <c r="B166" i="1"/>
  <c r="C163" i="1"/>
  <c r="B163" i="1"/>
  <c r="C160" i="1"/>
  <c r="B160" i="1"/>
  <c r="C157" i="1"/>
  <c r="B157" i="1"/>
  <c r="C154" i="1"/>
  <c r="B154" i="1"/>
  <c r="C151" i="1"/>
  <c r="B151" i="1"/>
  <c r="C148" i="1"/>
  <c r="B148" i="1"/>
  <c r="C145" i="1"/>
  <c r="B145" i="1"/>
  <c r="C142" i="1"/>
  <c r="B142" i="1"/>
  <c r="C139" i="1"/>
  <c r="B139" i="1"/>
  <c r="C136" i="1"/>
  <c r="B136" i="1"/>
  <c r="C133" i="1"/>
  <c r="B133" i="1"/>
  <c r="C130" i="1"/>
  <c r="B130" i="1"/>
  <c r="C127" i="1"/>
  <c r="B127" i="1"/>
  <c r="C124" i="1"/>
  <c r="B124" i="1"/>
  <c r="C121" i="1"/>
  <c r="B121" i="1"/>
  <c r="C118" i="1"/>
  <c r="B118" i="1"/>
  <c r="C115" i="1"/>
  <c r="B115" i="1"/>
  <c r="C112" i="1"/>
  <c r="B112" i="1"/>
  <c r="C109" i="1"/>
  <c r="B109" i="1"/>
  <c r="C106" i="1"/>
  <c r="B106" i="1"/>
  <c r="C103" i="1"/>
  <c r="B103" i="1"/>
  <c r="C100" i="1"/>
  <c r="B100" i="1"/>
  <c r="C97" i="1"/>
  <c r="B97" i="1"/>
  <c r="C94" i="1"/>
  <c r="B94" i="1"/>
  <c r="C91" i="1"/>
  <c r="B91" i="1"/>
  <c r="C88" i="1"/>
  <c r="B88" i="1"/>
  <c r="C85" i="1"/>
  <c r="B85" i="1"/>
  <c r="C82" i="1"/>
  <c r="B82" i="1"/>
  <c r="C79" i="1"/>
  <c r="B79" i="1"/>
  <c r="C76" i="1"/>
  <c r="B76" i="1"/>
  <c r="C73" i="1"/>
  <c r="B73" i="1"/>
  <c r="C70" i="1"/>
  <c r="B70" i="1"/>
  <c r="C67" i="1"/>
  <c r="B67" i="1"/>
  <c r="C64" i="1"/>
  <c r="B64" i="1"/>
  <c r="C61" i="1"/>
  <c r="B61" i="1"/>
  <c r="C58" i="1"/>
  <c r="B58" i="1"/>
  <c r="C55" i="1"/>
  <c r="B55" i="1"/>
  <c r="C52" i="1"/>
  <c r="B52" i="1"/>
  <c r="C49" i="1"/>
  <c r="B49" i="1"/>
  <c r="C46" i="1"/>
  <c r="B46" i="1"/>
  <c r="C43" i="1"/>
  <c r="B43" i="1"/>
  <c r="C40" i="1"/>
  <c r="B40" i="1"/>
  <c r="C37" i="1"/>
  <c r="B37" i="1"/>
  <c r="C34" i="1"/>
  <c r="B34" i="1"/>
  <c r="C31" i="1"/>
  <c r="B31" i="1"/>
  <c r="C28" i="1"/>
  <c r="B28" i="1"/>
  <c r="C25" i="1"/>
  <c r="B25" i="1"/>
  <c r="C22" i="1"/>
  <c r="B22" i="1"/>
  <c r="C19" i="1"/>
  <c r="B19" i="1"/>
  <c r="C16" i="1"/>
  <c r="B16" i="1"/>
  <c r="C13" i="1"/>
  <c r="B13" i="1"/>
  <c r="C10" i="1"/>
  <c r="B10" i="1"/>
  <c r="C7" i="1"/>
  <c r="B7" i="1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tc={c66ca9fd-cff1-488b-b63f-2e1b5c1ad558}</author>
  </authors>
  <commentList>
    <comment ref="A1" authorId="0" shapeId="0" xr:uid="{C66CA9FD-CFF1-488B-B63F-2E1B5C1AD55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good
Reply:
	Marked as resolved
Reply:
	Ok
Re-opened
</t>
        </r>
      </text>
    </comment>
  </commentList>
</comments>
</file>

<file path=xl/sharedStrings.xml><?xml version="1.0" encoding="utf-8"?>
<sst xmlns="http://schemas.openxmlformats.org/spreadsheetml/2006/main" count="3470" uniqueCount="318">
  <si>
    <t>SUNDAY SERVICE ATTENDANCE ROLL CALL ANALYSIS</t>
  </si>
  <si>
    <t>S/N</t>
  </si>
  <si>
    <t>NAMES OF MEMBERS</t>
  </si>
  <si>
    <t>JANUARY</t>
  </si>
  <si>
    <t>,</t>
  </si>
  <si>
    <t>SPIRIT REALM CENTRE SUNDAY SERVICE ATTENDANCE TRACKER 2025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</si>
  <si>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</si>
  <si>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ABSENT:</t>
  </si>
  <si>
    <t>✔</t>
  </si>
  <si>
    <t>A</t>
  </si>
  <si>
    <t>MEMBER'S INFORMATION</t>
  </si>
  <si>
    <t>1ST SUN. 5/01/2025</t>
  </si>
  <si>
    <t>2ND SUN. 12/01/2025</t>
  </si>
  <si>
    <t>3RD SUN. 19/01/2025</t>
  </si>
  <si>
    <t>4TH SUN. 26/01/2025</t>
  </si>
  <si>
    <t>5TH SUN. 00/02/2025</t>
  </si>
  <si>
    <t xml:space="preserve">REV. DR. OSAZE GREAT-ZION, 08188591715; [GO Headquarters]; [Men of Impact]  </t>
  </si>
  <si>
    <t>Present:</t>
  </si>
  <si>
    <t>Absent:</t>
  </si>
  <si>
    <t xml:space="preserve">REV. MRS. EDOSA GREAT-ZION; 08034701063; [President, Women of Purpose] </t>
  </si>
  <si>
    <t xml:space="preserve">PST. RALPH, 08163941615; [EGEDE Extension Pastor]; [Men of Impact]  </t>
  </si>
  <si>
    <t xml:space="preserve">PST. ROMANUS I, 09034788649; [Eweka Extension Pastor]; [Men of Impact] </t>
  </si>
  <si>
    <t xml:space="preserve">PST. SAMUEL, 08066314143; [Extension Pastor]; [Men of Impact] </t>
  </si>
  <si>
    <t xml:space="preserve">DCN. ESTON 08034747107; [Eweka Extension]; [Men of Impact]  </t>
  </si>
  <si>
    <t xml:space="preserve">DCN. ABEL 08131940031; [GRA Extension]; [Men of Impact] </t>
  </si>
  <si>
    <t xml:space="preserve">DCN SAM. O 08151215991; [Headquarters, Deacon]; [Men of Impact]  </t>
  </si>
  <si>
    <t xml:space="preserve">BRO. JULIUS IMHANA 08108372149; [Headquarters, Men of Impact Chairman]; [Men of Impact] </t>
  </si>
  <si>
    <t xml:space="preserve">BRO. MATTHEW 07053928408: [Headquarters Member]; [Men of Impact] </t>
  </si>
  <si>
    <t xml:space="preserve">BRO. WISDOM 08066120841: [Headquarters Member]; [Men of Impact] </t>
  </si>
  <si>
    <t>BRO. GODWIN 07059776499: [Headquarters Member]; [Men of Impact]</t>
  </si>
  <si>
    <t>BRO. ALEX KENNEDY 08060299070: [Headquarters Member]; [Men of Impact]</t>
  </si>
  <si>
    <t>BRO. CHARLES 08051921359: [Headquarters Member]; [Men of Impact]</t>
  </si>
  <si>
    <t>BRO. DANIEL 08108460601: [Headquarters Member]; [Men of Impact]</t>
  </si>
  <si>
    <t>BRO. UZOMA 09025797913: [Headquarters Member]; [Men of Impact]</t>
  </si>
  <si>
    <t>BRO. ESOSA I 08058235675: [Headquarters Member]; [Men of Impact]</t>
  </si>
  <si>
    <t>BRO. PAUL ASEMOTA. 08092033463: [Headquarters Member]; [Men of Impact]</t>
  </si>
  <si>
    <t>BRO. SAMUEL ETIM 07070256353: [Headquarters Member]; [Men of Impact]</t>
  </si>
  <si>
    <t>BRO. SUNNY K. 08035981524: [Headquarters Member]; [Men of Impact]</t>
  </si>
  <si>
    <t>BRO. PETER AIGBE 08077625088: [Headquarters Member]; [Men of Impact]</t>
  </si>
  <si>
    <t>BRO. SUNNY I 09067583446: [Headquarters Member]; [Men of Impact]</t>
  </si>
  <si>
    <t>BRO. BARTHOLOMEW S. 08054897427: [Headquarters Asst. Chairman]; [Men of Impact]</t>
  </si>
  <si>
    <t>BRO. MONDAY 09077277209: [Headquarters Member]; [Men of Impact]</t>
  </si>
  <si>
    <t>BRO. STEVE AGWEBOR 08143169535: [Headquarters Member]; [Men of Impact]</t>
  </si>
  <si>
    <t>BRO. EFOSA 07036845256: [Headquarters Member]; [Men of Impact]</t>
  </si>
  <si>
    <t>BRO. THANK-GOD 08111573236: [Headquarters Member]; [Men of Impact]</t>
  </si>
  <si>
    <t>BRO. HAPPY I. 08078378791: [Headquarters Member]; [Men of Impact]</t>
  </si>
  <si>
    <t xml:space="preserve">BRO. VICTOR 08168554928; [Headquarters, Member]; [Men of Impact] </t>
  </si>
  <si>
    <t xml:space="preserve">BRO. GOODNEWS 08164992804: [Headquarters Member]; [Men of Impact] </t>
  </si>
  <si>
    <t xml:space="preserve">BRO. SAMUEL 08139968749: [Headquarters Member]; [Men of Impact] </t>
  </si>
  <si>
    <t>BRO. WISDOM CHIBUIKE 08059091960: [Headquarters Member]; [Men of Impact]</t>
  </si>
  <si>
    <t>BRO. EPA AKPE 08039469795: [Headquarters Member]; [Men of Impact]</t>
  </si>
  <si>
    <t>BRO. SOLOMON 08066599049: [Headquarters Member]; [Men of Impact]</t>
  </si>
  <si>
    <t>BRO. PIUS 09032841227: [Headquarters Member]; [Men of Impact]</t>
  </si>
  <si>
    <t>BRO. I.K NJOKU 09153383840: [Headquarters Member]; [Men of Impact]</t>
  </si>
  <si>
    <t>BRO. STANLEY UKEAGBU 08114510462: [Headquarters Member]; [Men of Impact]</t>
  </si>
  <si>
    <t>BRO. EHIS O. 08148808661: [Headquarters Member]; [Men of Impact]</t>
  </si>
  <si>
    <t>BRO. EJIRO O. 07053262080: [Headquarters Member]; [Men of Impact]</t>
  </si>
  <si>
    <t>BRO. ROGER 08034757329: [Headquarters Member]; [Men of Impact]</t>
  </si>
  <si>
    <t>BRO. FRANCIS (ABROAD) +447388664771: [Headquarters Member]; [Men of Impact]</t>
  </si>
  <si>
    <t>MRS. ROSELINE NOSAKHARE; 08034701063: [Headquarters Member]; [Women of Purpose]</t>
  </si>
  <si>
    <t>GRACE ALRUSI; NO PHONE: [Headquarters Member]; [Women of Purpose]</t>
  </si>
  <si>
    <t>MAMA JUNIOR; 0906686813: [Headquarters Member]; [Women of Purpose]</t>
  </si>
  <si>
    <t>MRS. CLEMENT; 09131528956: [Headquarters Member]; [Women of Purpose]</t>
  </si>
  <si>
    <t>MAMA HAPPY (ELO FRANCIS); 07065345165: [Headquarters Member]; [Women of Purpose]</t>
  </si>
  <si>
    <t>MRS. AGBUSA (SNR); NO PHONE: [Headquarters Member]; [Women of Purpose]</t>
  </si>
  <si>
    <t>MRS. AGBUSA (JNR);NO PHONE: [Headquarters Member]; [Women of Purpose]</t>
  </si>
  <si>
    <t>MRS. OSAYI; 0807165812: [Headquarters Member]; [Women of Purpose]</t>
  </si>
  <si>
    <t>MRS. BLACKY; 0905637022: [Headquarters Member]; [Women of Purpose]</t>
  </si>
  <si>
    <t>MRS. GIFT MADUKA; 0805564481: [Headquarters Member]; [Women of Purpose]</t>
  </si>
  <si>
    <t>MRS. ESOSA (MAMA MUDIA); 0912935814: [Headquarters Member]; [Women of Purpose]</t>
  </si>
  <si>
    <t>MRS. PATRICIA; NO PHONE: [Headquarters Member]; [Women of Purpose]</t>
  </si>
  <si>
    <t>MRS. LAURA KOMA; 0705802421: [Headquarters Member]; [Women of Purpose]</t>
  </si>
  <si>
    <t>MRS. OGBEIDE; NO PHONE: [Headquarters Member]; [Women of Purpose]</t>
  </si>
  <si>
    <t>MRS. SUNDAY EVELYN; 0703759905: [Headquarters Member]; [Women of Purpose]</t>
  </si>
  <si>
    <t>MRS. ROGER; NO PHONE: [Headquarters Member]; [Women of Purpose]</t>
  </si>
  <si>
    <t>MRS. AMO; NO PHONE: [Headquarters Member]; [Women of Purpose]</t>
  </si>
  <si>
    <t>MRS. ANABEL (MAMA EMMA); NO PHONE: [Headquarters Member]; [Women of Purpose]</t>
  </si>
  <si>
    <t>MRS. ISIBOR; NO PHONE: [Headquarters Member]; [Women of Purpose]</t>
  </si>
  <si>
    <t>MRS. IMUWYAN OSA; 0807994392: [Headquarters Member]; [Women of Purpose]</t>
  </si>
  <si>
    <t>MRS. AIGBE (EPA’S WIFE); NO PHONE: [Headquarters Member]; [Women of Purpose]</t>
  </si>
  <si>
    <t>MRS. IMUWYANOSA (SNR); NO PHONE: [Headquarters Member]; [Women of Purpose]</t>
  </si>
  <si>
    <t>MRS. GLORIA MADUKA UZOMA; NO PHONE: [Headquarters Member]; [Women of Purpose]</t>
  </si>
  <si>
    <t>MRS. KATE BENEDICT; NO PHONE: [Headquarters Member]; [Women of Purpose]</t>
  </si>
  <si>
    <t>MRS. ISREAL (MAMA ISREAL); 0915331: [Headquarters Member]; [Women of Purpose]</t>
  </si>
  <si>
    <t>MRS. JOSPHINE; NO PHONE: [Headquarters Member]; [Women of Purpose]</t>
  </si>
  <si>
    <t>MRS. SONAL DANIEL; NO PHONE: [Headquarters Member]; [Women of Purpose]</t>
  </si>
  <si>
    <t>MRS. IT (LANSH); NO PHONE: [Headquarters Member]; [Women of Purpose]</t>
  </si>
  <si>
    <t>MAMA UDU; NO PHONE: [Headquarters Member]; [Women of Purpose]</t>
  </si>
  <si>
    <t>IYE OPPOSITE;NO PHONE: [Headquarters Member]; [Women of Purpose]</t>
  </si>
  <si>
    <t>VIVIAN; NO PHONE: [Headquarters Member]; [Women of Purpose]</t>
  </si>
  <si>
    <t>MRS. STELLA ELVIS; 09037120959: [Headquarters Member]; [Women of Purpose]</t>
  </si>
  <si>
    <t>MRS. AIGBOSA; NO PHONE: [Headquarters Member]; [Women of Purpose]</t>
  </si>
  <si>
    <t>MRS. JENNIFER AYO; 08037581459: [Headquarters Member]; [Women of Purpose]</t>
  </si>
  <si>
    <t>MRS. CLEMENT; 09006868137: [Headquarters Member]; [Women of Purpose]</t>
  </si>
  <si>
    <t>MRS. BARTHOLOMEW; 08168501206: [Headquarters Member]; [Women of Purpose]</t>
  </si>
  <si>
    <t>MRS. OSARETIN GRACE; 08068346590: [Headquarters Member]; [Women of Purpose]</t>
  </si>
  <si>
    <t>MAMA RAYMOND; 07064649021: [Headquarters Member]; [Women of Purpose]</t>
  </si>
  <si>
    <t>ROSE IDAHOR; 07085922586: [Headquarters Member]; [Women of Purpose]</t>
  </si>
  <si>
    <t>BLESSING MONDAR (MRS); 07085922586: [Headquarters Member]; [Women of Purpose]</t>
  </si>
  <si>
    <t>BLESSING; NO PHONE: [Headquarters Member]; [Women of Purpose]</t>
  </si>
  <si>
    <t>EVELYN; 07037599088: [Headquarters Member]; [Women of Purpose]</t>
  </si>
  <si>
    <t>MUMMY REJOICE; 08117069568: [Headquarters Member]; [Women of Purpose]</t>
  </si>
  <si>
    <t>MRS. EDWIN OSARIEMEN; 08097626066: [Headquarters Member]; [Women of Purpose]</t>
  </si>
  <si>
    <t>NOSAKHARE GLAMOUR; 07050078657: [Headquarters Member]; [Women of Purpose]</t>
  </si>
  <si>
    <t>OKONOFUA TESSY; 08182240652: [Headquarters Member]; [Women of Purpose]</t>
  </si>
  <si>
    <t>MRS. QUEEN; 07066134189: [Headquarters Member]; [Women of Purpose]</t>
  </si>
  <si>
    <t>LAURETTA ODUWARE; 08060570639: [Headquarters Member]; [Women of Purpose]</t>
  </si>
  <si>
    <t>CHOICE OSAZEE; NO PHONE: [Headquarters Member]; [Women of Purpose]</t>
  </si>
  <si>
    <t>MRS. GIFT SAMUEL; NO PHONE: [Headquarters Member]; [Women of Purpose]</t>
  </si>
  <si>
    <t>MISS PATCH AIGBU; 08028281218: [Headquarters Member]; [Women of Purpose]</t>
  </si>
  <si>
    <t>MAMA JUNIOR; NO PHONE: [Headquarters Member]; [Women of Purpose]</t>
  </si>
  <si>
    <t>JULIE OBASOGIE; 08053373293: [Headquarters Member]; [Women of Purpose]</t>
  </si>
  <si>
    <t>IMUANTYAN GRACE; NO PHONE: [Headquarters Member]; [Women of Purpose]</t>
  </si>
  <si>
    <t>MRS. ONYROSA; 09035911384: [Headquarters Member]; [Women of Purpose]</t>
  </si>
  <si>
    <t>MAMA BLESSING (EVAN); 08112483529: [Headquarters Member]; [Women of Purpose]</t>
  </si>
  <si>
    <t>MUMMY DOMINION; 08109550932: [Headquarters Member]; [Women of Purpose]</t>
  </si>
  <si>
    <t>MUMMY WEALT; NO PHONE: [Headquarters Member]; [Women of Purpose]</t>
  </si>
  <si>
    <t>MUMMY DESTINY; 07054887647: [Headquarters Member]; [Women of Purpose]</t>
  </si>
  <si>
    <t>MUMMY DIVINE; 07082621827: [Headquarters Member]; [Women of Purpose]</t>
  </si>
  <si>
    <t>MAMA NKECHI; NO PHONE: [Headquarters Member]; [Women of Purpose]</t>
  </si>
  <si>
    <t>NEW SIST DIVINE; 09136802997: [Headquarters Member]; [Women of Purpose]</t>
  </si>
  <si>
    <t>NOSA-FAITH; NO PHONE: [Headquarters Member]; [Women of Purpose]</t>
  </si>
  <si>
    <t>PAPA’S WIFE; 08111009539: [Headquarters Member]; [Women of Purpose]</t>
  </si>
  <si>
    <t>SIS PROMISE VICTOR; 08167962900: [Headquarters Member]; [Women of Purpose]</t>
  </si>
  <si>
    <t>SIS JOY SAMUEL; 08126991212: [Headquarters Member]; [Youth of Power, Glory and Women of Purpose]</t>
  </si>
  <si>
    <t>KELVIN; 09150261680: [Headquarters Member]; [Youth of Power and Glory]</t>
  </si>
  <si>
    <t>ESEGHENE; 07046644110: [Headquarters Member]; [Youth of Power and Glory]</t>
  </si>
  <si>
    <t>HAPPINESS; 09043805704: [Headquarters Member]; [Youth of Power and Glory]</t>
  </si>
  <si>
    <t>OTABOR BLESSING; 09020677657: [Headquarters Member]; [Youth of Power and Glory]</t>
  </si>
  <si>
    <t>ABEL FAITH; 09031582781: [Headquarters Member]; [Youth of Power and Glory]</t>
  </si>
  <si>
    <t>UGBEKILE FAITH; 0901216393: [Headquarters Member]; [Youth of Power and Glory]</t>
  </si>
  <si>
    <t>EDUGHEAN TITI; 09150360507: [Headquarters Member]; [Youth of Power and Glory]</t>
  </si>
  <si>
    <t>APPLE; 08126551701: [Headquarters Member]; [Youth of Power and Glory]</t>
  </si>
  <si>
    <t>MOSES EMMANUEL; 09163371049: [Headquarters Member]; [Youth of Power and Glory]</t>
  </si>
  <si>
    <t>NOSAKHARE RAYMOND; 09121632466: [Headquarters Member]; [Youth of Power and Glory]</t>
  </si>
  <si>
    <t>KEGBEJIE EXCEL; 08023798580: [Headquarters Member]; [Youth of Power and Glory]</t>
  </si>
  <si>
    <t>BRO. SUNNY; 09049829594: [Headquarters Member]; [Youth of Power and Glory]</t>
  </si>
  <si>
    <t>SIS STELLA; 09122392393: [Headquarters Member]; [Youth of Power and Glory]</t>
  </si>
  <si>
    <t>BEST; 07065313405: [Headquarters Member]; [Youth of Power and Glory]</t>
  </si>
  <si>
    <t>DAVID ELOGHOSA; 08119166172: [Headquarters Member]; [Youth of Power and Glory]</t>
  </si>
  <si>
    <t>EFEAWARHRE BLESSING; 07049564684: [Headquarters Member]; [Youth of Power and Glory]</t>
  </si>
  <si>
    <t>AMEREKA GODSPOWER; 09011402472: [Headquarters Member]; [Youth of Power and Glory]</t>
  </si>
  <si>
    <t>ERHARUYI OSAGIE; 08022564429: [Headquarters Member]; [Youth of Power and Glory]</t>
  </si>
  <si>
    <t>JIMOH BRIGHT; 08052155988: [Headquarters Member]; [Youth of Power and Glory]</t>
  </si>
  <si>
    <t>NAME; PHONE: [Headquarters Member]; [Youth of Power and Glory]</t>
  </si>
  <si>
    <t>INEGBE VERA; 09114634367: [Headquarters Member]; [Youth of Power and Glory]</t>
  </si>
  <si>
    <t>ATANE COURAGE; 09052268276: [Headquarters Member]; [Youth of Power and Glory]</t>
  </si>
  <si>
    <t>ATANE JOY; 09165656493: [Headquarters Member]; [Youth of Power and Glory]</t>
  </si>
  <si>
    <t>IDAHOTA PRECIOUS; 08144836505: [Headquarters Member]; [Youth of Power and Glory]</t>
  </si>
  <si>
    <t>TRUST; 08117028203: [Headquarters Member]; [Youth of Power and Glory]</t>
  </si>
  <si>
    <t>FAVOUR; 09156464691: [Headquarters Member]; [Youth of Power and Glory]</t>
  </si>
  <si>
    <t>CHARITY; 07018882497: [Headquarters Member]; [Youth of Power and Glory]</t>
  </si>
  <si>
    <t>MICHEAL; 09163092391: [Headquarters Member]; [Youth of Power and Glory]</t>
  </si>
  <si>
    <t>DESTINY (D.V); 07026612509: [Headquarters Member]; [Youth of Power and Glory]</t>
  </si>
  <si>
    <t>PROMISE; 08136200278: [Headquarters Member]; [Youth of Power and Glory]</t>
  </si>
  <si>
    <t>GIFT; 09049602484: [Headquarters Member]; [Youth of Power and Glory]</t>
  </si>
  <si>
    <t>GODBLESS; 08109258878: [Headquarters Member]; [Youth of Power and Glory]</t>
  </si>
  <si>
    <t>BLESSED; 09159832300: [Headquarters Member]; [Youth of Power and Glory]</t>
  </si>
  <si>
    <t>HOPE; 09160585796: [Headquarters Member]; [Youth of Power and Glory]</t>
  </si>
  <si>
    <t>PRECIOUS EVANS; 07063057221: [Headquarters Member]; [Youth of Power and Glory]</t>
  </si>
  <si>
    <t>IGWE DANIEL; 09069367219: [Headquarters Member]; [Youth of Power and Glory]</t>
  </si>
  <si>
    <t>NOSAKHARE GLAMOUR; 09050078657: [Headquarters Member]; [Youth of Power and Glory]</t>
  </si>
  <si>
    <t>UKUW T. VICTORY; 09112957011: [Headquarters Member]; [Youth of Power and Glory]</t>
  </si>
  <si>
    <t>OREDIA VICTORY; 08144836505: [Headquarters Member]; [Youth of Power and Glory]</t>
  </si>
  <si>
    <t>INEGBEDION EHIS; 09039548529: [Headquarters Member]; [Youth of Power and Glory]</t>
  </si>
  <si>
    <t>NOSA SPLENDOR ; 07031567546: [Headquarters Member]; [Youth of Power and Glory]</t>
  </si>
  <si>
    <t>MARVELLOUS BRIGHT; 09011816906: [Headquarters Member]; [Youth of Power and Glory]</t>
  </si>
  <si>
    <t>PROSPER; 09132772715: [Headquarters Member]; [Youth of Power and Glory]</t>
  </si>
  <si>
    <t>DIGBEDION ATESO; 09069000699: [Headquarters Member]; [Youth of Power and Glory]</t>
  </si>
  <si>
    <t>JIMOH LUCKY; 08060597582: [Headquarters Member]; [Youth of Power and Glory]</t>
  </si>
  <si>
    <t>EDUGAELO VICTOR; 08105070675: [Headquarters Member]; [Youth of Power and Glory]</t>
  </si>
  <si>
    <t>NOSAKHARE BLESSING; 09050078657: [Headquarters Choir]; [Address]</t>
  </si>
  <si>
    <t>OBAHOR BLESSING 09020677657: [Headquarters Choir]; [Address]</t>
  </si>
  <si>
    <t>BRO BEST;  07065313405: [Headquarters Usher ]; [AFTER CORNER STONE CHURCH AMAGBA, BENIN CITY]</t>
  </si>
  <si>
    <t>BRO MORRIS; 0903 350 1577: [Headquarters Usher]; [EVBIOBOGUN SAPELE ROAD, BENIN CITY]</t>
  </si>
  <si>
    <t>BRO DANIEL; 0901 162 8531: [Headquarters Usher]; [EVBIOBOGUN SAPELE ROAD BENIN CITY]</t>
  </si>
  <si>
    <t>BRO BRIGHT; 0805 215 5988: [Headquarters Usher]; [UNITY STREET OFF ERADIAWA / SAPELE ROAD BENIN CITY]</t>
  </si>
  <si>
    <t>BRO SUNDAY; 0906 758 3446: [Headquarters Usher]; [OFF OKHABARE SAPELE ROAD BENIN CITY]</t>
  </si>
  <si>
    <t>BRO SUNNY; 0904 982 9594: [Headquarters Usher]; [ALONG ERADIAWA SAPKONBA ROAD BENIN CITY]</t>
  </si>
  <si>
    <t>BRO GODWIN; 0705 977 6499: [Headquarters Usher]; [UROHO COMMUNITY OFF SAPELE ROAD BYPASS BENIN CITY]</t>
  </si>
  <si>
    <r>
      <rPr>
        <sz val="11"/>
        <color rgb="FFFFFFFF"/>
        <rFont val="Inter"/>
      </rPr>
      <t>BRO GOD'SPOWER; 09011402472: [Headquarters Usher];</t>
    </r>
    <r>
      <rPr>
        <sz val="10"/>
        <color rgb="FFFFFFFF"/>
        <rFont val="Inter"/>
      </rPr>
      <t xml:space="preserve"> [OFF 2ND ERADIAWA LANE, ALONG ERADIAWA SAPELE ROAD, BENIN CITY</t>
    </r>
    <r>
      <rPr>
        <sz val="11"/>
        <color rgb="FFFFFFFF"/>
        <rFont val="Inter"/>
      </rPr>
      <t>]</t>
    </r>
  </si>
  <si>
    <t>SIS MERCY; 0813 669 2754: [Headquarters Usher]; [OFF OMOZEE STREET, ERADIAWA / SAPELE ROAD BENIN CITY]</t>
  </si>
  <si>
    <t>SIS GOD'S LOVE; 09072995858: [Headquarters Usher]; [OFF TONGO, ERADIAWA / SAPKONBA ROAD BENIN CITY]</t>
  </si>
  <si>
    <t>MAMA MUDIA; 0907 197 1344: [Headquarters Usher]; [COUNTRY HOME ROAD, SAPELE ROAD BENIN CITY]</t>
  </si>
  <si>
    <t>IGWE DANIEL; 09069367219: [Headquarters Media]; [ADOLLOR STREET  EVBUABOGUN]</t>
  </si>
  <si>
    <t>ATESO AIGBEDION; 09069000699: [Headquarters Media]; [EVBUABOGUN]</t>
  </si>
  <si>
    <t>IGWE SUNDAY EJIKE; 09034210872: [Headquarters Media]; [Youth of Power and Glory]</t>
  </si>
  <si>
    <t>MOSES EMMANUEL; 09163371049: [Headquarters Media]; [NO 5 UGIAGBE STREET OFF EREDIAUWA, SAPELE ROAD]</t>
  </si>
  <si>
    <t>BRO LUCKY; 09060597582: [Headquarters Media]; [address]</t>
  </si>
  <si>
    <t>BRO CHARLES AGBONKINA: [Headquarters Security]; [Address]</t>
  </si>
  <si>
    <t>BRO SAMUEL BASSEY: [Headquarters Security]; [Address]</t>
  </si>
  <si>
    <t>UZOMA MADUKA: [Headquarters Security]; [Address]</t>
  </si>
  <si>
    <t>MRS. ELO: [Headquarters Security]; [Address]</t>
  </si>
  <si>
    <t>BROTHER BEN: [Headquarters Security]; [Address]</t>
  </si>
  <si>
    <t>MIN VICTOR; 0810507062: [Headquarters Prayer]; [Address]</t>
  </si>
  <si>
    <t>MIN BRIGHT; 08052155988: [Headquarters Prayer]; [Address]</t>
  </si>
  <si>
    <t>SIS JESSICA: [Headquarters Prayer]; [Address]</t>
  </si>
  <si>
    <t>BRO BENARD: [Headquarters Prayer]; [Address]</t>
  </si>
  <si>
    <t>BRO GABRIEL: [Headquarters Prayer]; [Address]</t>
  </si>
  <si>
    <t>BRO OSAGIE: [Headquarters Prayer]; [Address]</t>
  </si>
  <si>
    <t>MIN VICTOR; 0810507062: [Headquarters Godly Action]; [Address]</t>
  </si>
  <si>
    <t>MIN BRIGHT; 08052155988: [Headquarters Godly Action]; [Address]</t>
  </si>
  <si>
    <t>BRO LUCKY; 08116110454: [Headquarters Godly Action]; [Address]</t>
  </si>
  <si>
    <t>BRO MORRIS; 08071978244: [Headquarters Godly Action]; [Address]</t>
  </si>
  <si>
    <t>BRO GOD'S POWER; 09011402427: [Headquarters Godly Action]; [Address]</t>
  </si>
  <si>
    <t>BRO VICTORY; 0911295701: [Headquarters Godly Action]; [Address]</t>
  </si>
  <si>
    <t>SIS CHARITY; 07018582492: [Headquarters Godly Action]; [Address]</t>
  </si>
  <si>
    <t>SIS FAVOUR; 09156464691: [Headquarters Godly Action]; [Address]</t>
  </si>
  <si>
    <t>SIS GRACE; 09032441393: [Headquarters Godly Action]; [Address]</t>
  </si>
  <si>
    <t>SIS JOY; 09165656495: [Headquarters Godly Action]; [Address]</t>
  </si>
  <si>
    <t>BRO DAN; 09069367216: [Headquarters Godly Action]; [Address]</t>
  </si>
  <si>
    <t>SIS COURAGE; 09052268276: [Headquarters Godly Action]; [Address]</t>
  </si>
  <si>
    <t>BRO MARVELOUS; 09011816906: [Headquarters Godly Action]; [Address]</t>
  </si>
  <si>
    <t>BRO OSA-GREAT; 07010707729: [Headquarters Godly Action]; [Address]</t>
  </si>
  <si>
    <t>BRO OSA-WEALTH; 08023656579: [Headquarters Godly Action]; [Address]</t>
  </si>
  <si>
    <t>SIS OSA-LIGHT: [Headquarters Godly Action]; [Address]</t>
  </si>
  <si>
    <t>SIS DARA, 09069367216: [Headquarters Godly Action]; [Address]</t>
  </si>
  <si>
    <t>BRO. PIUS, 08071978244: [Headquarters Godly Action]; [Address]</t>
  </si>
  <si>
    <t>BRO. OBI JOHNSON: [Headquarters Member]; Men of Impact [Address]</t>
  </si>
  <si>
    <t>MUMMY SUCCESS: [Headquarters Member]; [Women of Purpose]</t>
  </si>
  <si>
    <t>MUMMY CHRISTABEL: [Headquarters Member]; [Women of Purpose]</t>
  </si>
  <si>
    <t>MUMMY KAMSEY: [Headquarters Member]; [Women of Purpose]5</t>
  </si>
  <si>
    <t>MRS. MATTHEW: [Headquarters Member]; [Women of Purpose]</t>
  </si>
  <si>
    <t>MRS. ROGER: [Headquarters Member]; [Women of Purpose]</t>
  </si>
  <si>
    <t>BRO EHIS: [Headquarters Prayer]; [Address]</t>
  </si>
  <si>
    <t>MUMMY UNION: [Headquarters Member]; [Women of Purpose]</t>
  </si>
  <si>
    <t>OTABOR BLESSING; 09156464691: [Headquarters Member]; [Choir]</t>
  </si>
  <si>
    <t>AMADIN MAVINS: [Headquarters Instrumentalist]; [Address]</t>
  </si>
  <si>
    <t>BRO UKUW T. VICTORY; 0911295701: [Headquarters Godly Action]; [Address]</t>
  </si>
  <si>
    <t>OREDIA VICTORY; 08144836505: [Headquarters Member]; [Choir]</t>
  </si>
  <si>
    <t>IllEGBEJIE EXCEL; 08023798580: [Headquarters Member]; [Youth of Power and Glory]</t>
  </si>
  <si>
    <t>SIS COURAGE ATANE; 09052268276: [Headquarters Member]; [Choir]</t>
  </si>
  <si>
    <t>ATANE JOY; 09165656493: [Headquarters Member]; [Choir]</t>
  </si>
  <si>
    <t>SIS PRAISE ILEGBEJIE: [Headquarters Member]; [Choir]</t>
  </si>
  <si>
    <t>SIS UGBEKILE FAITH; 0901216393: [Headquarters Member]; [Choir]</t>
  </si>
  <si>
    <t>SIS RITA: [Headquarters Member]; [Women of Purpose]</t>
  </si>
  <si>
    <t>MUMMY ELIJAH: [Headquarters Member]; [Women of Purpose]</t>
  </si>
  <si>
    <t>SIS GLADYS: [Headquarters Member]; [Women of Purpose]</t>
  </si>
  <si>
    <t>MAMA OSAROBO: [Headquarters Member]; [Women of Purpose]</t>
  </si>
  <si>
    <t>MRS. EJIRO: [Headquarters Member]; [Women of Purpose]</t>
  </si>
  <si>
    <t>DESTINY (D.V); 07026612509: [Headquarters Member]; [Choir]</t>
  </si>
  <si>
    <t>TRUST; 08117028203: [Headquarters Member]; [Choir]</t>
  </si>
  <si>
    <t>HAPPY EDAHOR: [Headquarters Member]; [Choir]</t>
  </si>
  <si>
    <t>BRO OSAGIE: [Headquarters Choir]; [Address]</t>
  </si>
  <si>
    <t>SIS PRAISE AIGBOSE: [Headquarters Member]; [Choir]</t>
  </si>
  <si>
    <t>NOSA SPLENDOR ; 07031567546: [Headquarters Member]; [Choir]</t>
  </si>
  <si>
    <t>DESTINY OSAGBOKAM; 07026612509: [Headquarters Member]; [Choir]</t>
  </si>
  <si>
    <t>MRS. TRICIA: [Headquarters Member]; [Women of Purpose]</t>
  </si>
  <si>
    <t>SPIRIT REALM CENTRE SUNDAY SERVICE ATTENDANCE TRACKER 2024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</si>
  <si>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</si>
  <si>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1ST SUN. 6/10/2024</t>
  </si>
  <si>
    <t>2ND SUN. 13/10/2024</t>
  </si>
  <si>
    <t>3RD SUN. 20/10/2024</t>
  </si>
  <si>
    <t>4TH SUN. 27/10/2024</t>
  </si>
  <si>
    <t>5 H SUN.</t>
  </si>
  <si>
    <t>DESTINY OSABOKAM; 07026612509: [Headquarters Member]; [Choir]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</si>
  <si>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</si>
  <si>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r>
      <rPr>
        <sz val="11"/>
        <color rgb="FFFFFFFF"/>
        <rFont val="Inter"/>
      </rPr>
      <t>BRO GOD'SPOWER; 09011402472: [Headquarters Usher];</t>
    </r>
    <r>
      <rPr>
        <sz val="10"/>
        <color rgb="FFFFFFFF"/>
        <rFont val="Inter"/>
      </rPr>
      <t xml:space="preserve"> [OFF 2ND ERADIAWA LANE, ALONG ERADIAWA SAPELE ROAD, BENIN CITY</t>
    </r>
    <r>
      <rPr>
        <sz val="11"/>
        <color rgb="FFFFFFFF"/>
        <rFont val="Inter"/>
      </rPr>
      <t>]</t>
    </r>
  </si>
  <si>
    <t>BRO. MONDAY OKPUNWAN; 09066459333: [Headquarters Usher]; [ BENIN CITY]</t>
  </si>
  <si>
    <t>BRO. FRED OSAREKHOE; 08077035480: [Headquarters Usher]; [ BENIN CITY]</t>
  </si>
  <si>
    <t>SIS. HAPPINESS; 09073677803: [Headquarters Usher]; [ BENIN CITY]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</si>
  <si>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</si>
  <si>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IGWE SUNDAY EGWE; 09034210872: [Headquarters Media]; [Youth of Power and Glory]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</si>
  <si>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</si>
  <si>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PAUL O. ASEMOTA: [Headquarters Security]; [Address]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</si>
  <si>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</si>
  <si>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SIS STELLA: [Headquarters Prayer]; [Address]</t>
  </si>
  <si>
    <r>
      <rPr>
        <b/>
        <sz val="9"/>
        <color theme="1"/>
        <rFont val="Inter"/>
      </rPr>
      <t>PRESENT</t>
    </r>
    <r>
      <rPr>
        <sz val="9"/>
        <color theme="1"/>
        <rFont val="Inter"/>
      </rPr>
      <t>:</t>
    </r>
  </si>
  <si>
    <t>BRO GABRIEL; 09118794939: [Headquarters Godly Action]; [Address]</t>
  </si>
  <si>
    <t>BRO OSA-LIGHT: [Headquarters Godly Action]; [Address]</t>
  </si>
  <si>
    <t>EWEKA EXTENSION</t>
  </si>
  <si>
    <t>PST. RAMANUS</t>
  </si>
  <si>
    <t>SISTER JOVITA</t>
  </si>
  <si>
    <t>DCN. ESTON</t>
  </si>
  <si>
    <t>SISTER JULIET YAKUBU</t>
  </si>
  <si>
    <t>BRO. PIUS TITANA</t>
  </si>
  <si>
    <t>SISTER VITA</t>
  </si>
  <si>
    <t>EPA OMOREGBON</t>
  </si>
  <si>
    <t>SISTER LOVETH GODWIN</t>
  </si>
  <si>
    <t>SISTER JOY ONI</t>
  </si>
  <si>
    <t>SISTER ESTHER OSHIOREMO</t>
  </si>
  <si>
    <t>SISTER VICTORY CHRISTIAN</t>
  </si>
  <si>
    <t>SISTER RUTH CHRISTIAN</t>
  </si>
  <si>
    <t>BRO. MICHEAL CHRISTIAN</t>
  </si>
  <si>
    <t>BRO. ANDREW EMMANUEL</t>
  </si>
  <si>
    <t>SISTER EUNICE YAKUBU</t>
  </si>
  <si>
    <t>SISTER VIOLET AGBOW</t>
  </si>
  <si>
    <t>SISTER GIFT SUNDAY</t>
  </si>
  <si>
    <t>SISTER VICTORY SAMUEL</t>
  </si>
  <si>
    <t>NIL</t>
  </si>
  <si>
    <t>IRREGULAR MEMBERS</t>
  </si>
  <si>
    <t>SISTER JOY SAMUEL 08082046262</t>
  </si>
  <si>
    <t>SISTER ESTHER LUCKY 07056141005</t>
  </si>
  <si>
    <t>SISTER JENNIFER IMEREMUN 0906442700</t>
  </si>
  <si>
    <t>SISTER BLESSING ISAAC 0915414497</t>
  </si>
  <si>
    <t>SISTER STELLA ELVIS 09037120959</t>
  </si>
  <si>
    <t>SISTER GLORY EMMANUEL 09156592</t>
  </si>
  <si>
    <t>BROTHER AUGUSTINE OWAS 07045883</t>
  </si>
  <si>
    <t>ABSENT MEMBERS</t>
  </si>
  <si>
    <t>PRAYER GROUP</t>
  </si>
  <si>
    <t>SIS STELLA</t>
  </si>
  <si>
    <t>SIS JESSICA</t>
  </si>
  <si>
    <t>BRO EHIS</t>
  </si>
  <si>
    <t>BRO GABRIEL</t>
  </si>
  <si>
    <t>GODLY ACTION</t>
  </si>
  <si>
    <t>MEN OF IMPACT</t>
  </si>
  <si>
    <t>Brother Charles</t>
  </si>
  <si>
    <t>Brother Ik njoku</t>
  </si>
  <si>
    <t>Brother Stanley</t>
  </si>
  <si>
    <t>Brother Paul</t>
  </si>
  <si>
    <t>Brother Esosa</t>
  </si>
  <si>
    <t>Brother uzoma</t>
  </si>
  <si>
    <t>Brother Kennedy</t>
  </si>
  <si>
    <t>Brother Solomon</t>
  </si>
  <si>
    <t>Brother goodnews</t>
  </si>
  <si>
    <t>Brother ejiro</t>
  </si>
  <si>
    <t>Brother Ehis</t>
  </si>
  <si>
    <t>Bro. Gabriel 09118794939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</si>
</sst>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24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b/>
      <sz val="14"/>
      <color theme="1"/>
      <name val="Arial"/>
      <scheme val="minor"/>
    </font>
    <font>
      <sz val="10"/>
      <name val="Arial"/>
    </font>
    <font>
      <b/>
      <sz val="12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Inter"/>
    </font>
    <font>
      <b/>
      <sz val="24"/>
      <color rgb="FFFFFFFF"/>
      <name val="Inter"/>
    </font>
    <font>
      <sz val="10"/>
      <color theme="1"/>
      <name val="Inter"/>
    </font>
    <font>
      <b/>
      <sz val="9"/>
      <color theme="1"/>
      <name val="Inter"/>
    </font>
    <font>
      <sz val="9"/>
      <color theme="1"/>
      <name val="Inter"/>
    </font>
    <font>
      <b/>
      <sz val="18"/>
      <color rgb="FFFFFFFF"/>
      <name val="Inter"/>
    </font>
    <font>
      <b/>
      <sz val="12"/>
      <color rgb="FFFFFFFF"/>
      <name val="Inter"/>
    </font>
    <font>
      <sz val="11"/>
      <color rgb="FFFFFFFF"/>
      <name val="Inter"/>
    </font>
    <font>
      <sz val="12"/>
      <color theme="1"/>
      <name val="Inter"/>
    </font>
    <font>
      <b/>
      <sz val="11"/>
      <color rgb="FF263238"/>
      <name val="Inter"/>
    </font>
    <font>
      <b/>
      <sz val="10"/>
      <color rgb="FF263238"/>
      <name val="Inter"/>
    </font>
    <font>
      <sz val="12"/>
      <color rgb="FF263238"/>
      <name val="Inter"/>
    </font>
    <font>
      <sz val="10"/>
      <color theme="1"/>
      <name val="Arial"/>
    </font>
    <font>
      <b/>
      <sz val="10"/>
      <color rgb="FF263238"/>
      <name val="Inter"/>
    </font>
    <font>
      <b/>
      <sz val="11"/>
      <color theme="1"/>
      <name val="Calibri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rgb="FFFFFFFF"/>
      <name val="Inter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theme="4"/>
        <bgColor theme="4"/>
      </patternFill>
    </fill>
    <fill>
      <patternFill patternType="solid">
        <fgColor rgb="FF03A9F4"/>
        <bgColor rgb="FF03A9F4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7043"/>
        <bgColor rgb="FFFF7043"/>
      </patternFill>
    </fill>
    <fill>
      <patternFill patternType="solid">
        <fgColor rgb="FFE1F5FE"/>
        <bgColor rgb="FFE1F5FE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94D2F6"/>
      </left>
      <right/>
      <top style="thin">
        <color rgb="FF94D2F6"/>
      </top>
      <bottom/>
      <diagonal/>
    </border>
    <border>
      <left/>
      <right/>
      <top style="thin">
        <color rgb="FF94D2F6"/>
      </top>
      <bottom/>
      <diagonal/>
    </border>
    <border>
      <left/>
      <right style="thin">
        <color rgb="FF94D2F6"/>
      </right>
      <top style="thin">
        <color rgb="FF94D2F6"/>
      </top>
      <bottom/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thin">
        <color rgb="FF94D2F6"/>
      </left>
      <right/>
      <top/>
      <bottom style="thin">
        <color rgb="FF94D2F6"/>
      </bottom>
      <diagonal/>
    </border>
    <border>
      <left/>
      <right/>
      <top/>
      <bottom style="thin">
        <color rgb="FF94D2F6"/>
      </bottom>
      <diagonal/>
    </border>
    <border>
      <left/>
      <right style="thin">
        <color rgb="FF94D2F6"/>
      </right>
      <top/>
      <bottom style="thin">
        <color rgb="FF94D2F6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thin">
        <color rgb="FF94D2F6"/>
      </left>
      <right style="thin">
        <color rgb="FF94D2F6"/>
      </right>
      <top/>
      <bottom/>
      <diagonal/>
    </border>
    <border>
      <left style="thin">
        <color rgb="FF94D2F6"/>
      </left>
      <right style="thin">
        <color rgb="FF94D2F6"/>
      </right>
      <top/>
      <bottom style="thin">
        <color rgb="FF94D2F6"/>
      </bottom>
      <diagonal/>
    </border>
    <border>
      <left style="thin">
        <color rgb="FF94D2F6"/>
      </left>
      <right/>
      <top style="thin">
        <color rgb="FF94D2F6"/>
      </top>
      <bottom style="thin">
        <color rgb="FF94D2F6"/>
      </bottom>
      <diagonal/>
    </border>
    <border>
      <left/>
      <right/>
      <top style="thin">
        <color rgb="FF94D2F6"/>
      </top>
      <bottom style="thin">
        <color rgb="FF94D2F6"/>
      </bottom>
      <diagonal/>
    </border>
    <border>
      <left/>
      <right style="thin">
        <color rgb="FF94D2F6"/>
      </right>
      <top style="thin">
        <color rgb="FF94D2F6"/>
      </top>
      <bottom style="thin">
        <color rgb="FF94D2F6"/>
      </bottom>
      <diagonal/>
    </border>
    <border>
      <left style="thin">
        <color rgb="FF94D2F6"/>
      </left>
      <right style="thin">
        <color rgb="FF94D2F6"/>
      </right>
      <top style="thin">
        <color rgb="FF94D2F6"/>
      </top>
      <bottom style="thin">
        <color rgb="FF94D2F6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4" borderId="4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5" borderId="0" xfId="0" applyFont="1" applyFill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6" borderId="0" xfId="0" applyFont="1" applyFill="1" applyAlignment="1">
      <alignment vertical="top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5" fillId="9" borderId="19" xfId="0" applyFont="1" applyFill="1" applyBorder="1" applyAlignment="1">
      <alignment horizontal="right"/>
    </xf>
    <xf numFmtId="0" fontId="16" fillId="9" borderId="22" xfId="0" applyFont="1" applyFill="1" applyBorder="1" applyAlignment="1">
      <alignment horizontal="right" vertical="center"/>
    </xf>
    <xf numFmtId="0" fontId="17" fillId="9" borderId="22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18" fillId="0" borderId="0" xfId="0" applyFont="1"/>
    <xf numFmtId="0" fontId="19" fillId="9" borderId="22" xfId="0" applyFont="1" applyFill="1" applyBorder="1" applyAlignment="1">
      <alignment horizontal="right"/>
    </xf>
    <xf numFmtId="0" fontId="17" fillId="9" borderId="22" xfId="0" applyFont="1" applyFill="1" applyBorder="1" applyAlignment="1">
      <alignment horizontal="center"/>
    </xf>
    <xf numFmtId="0" fontId="15" fillId="9" borderId="20" xfId="0" applyFont="1" applyFill="1" applyBorder="1" applyAlignment="1">
      <alignment horizontal="right"/>
    </xf>
    <xf numFmtId="0" fontId="15" fillId="9" borderId="21" xfId="0" applyFont="1" applyFill="1" applyBorder="1" applyAlignment="1">
      <alignment horizontal="right"/>
    </xf>
    <xf numFmtId="0" fontId="8" fillId="5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164" fontId="5" fillId="0" borderId="0" xfId="0" applyNumberFormat="1" applyFont="1"/>
    <xf numFmtId="0" fontId="21" fillId="0" borderId="0" xfId="0" applyFont="1"/>
    <xf numFmtId="164" fontId="21" fillId="0" borderId="0" xfId="0" applyNumberFormat="1" applyFont="1"/>
    <xf numFmtId="0" fontId="20" fillId="0" borderId="0" xfId="0" applyFont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9" borderId="19" xfId="0" applyFont="1" applyFill="1" applyBorder="1" applyAlignment="1">
      <alignment horizontal="right"/>
    </xf>
    <xf numFmtId="0" fontId="3" fillId="0" borderId="20" xfId="0" applyFont="1" applyBorder="1"/>
    <xf numFmtId="0" fontId="3" fillId="0" borderId="21" xfId="0" applyFont="1" applyBorder="1"/>
    <xf numFmtId="0" fontId="14" fillId="0" borderId="17" xfId="0" applyFont="1" applyBorder="1" applyAlignment="1">
      <alignment horizontal="center"/>
    </xf>
    <xf numFmtId="0" fontId="3" fillId="0" borderId="18" xfId="0" applyFont="1" applyBorder="1"/>
    <xf numFmtId="0" fontId="11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13" fillId="5" borderId="5" xfId="0" applyFont="1" applyFill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11" fillId="0" borderId="0" xfId="0" applyFont="1" applyAlignment="1">
      <alignment horizontal="center" vertical="center"/>
    </xf>
    <xf numFmtId="0" fontId="13" fillId="5" borderId="5" xfId="0" applyFont="1" applyFill="1" applyBorder="1" applyAlignment="1">
      <alignment wrapText="1"/>
    </xf>
    <xf numFmtId="0" fontId="11" fillId="6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5" borderId="5" xfId="0" applyFont="1" applyFill="1" applyBorder="1" applyAlignment="1">
      <alignment vertical="top" wrapText="1"/>
    </xf>
    <xf numFmtId="0" fontId="18" fillId="9" borderId="19" xfId="0" applyFont="1" applyFill="1" applyBorder="1"/>
    <xf numFmtId="0" fontId="18" fillId="0" borderId="17" xfId="0" applyFont="1" applyBorder="1"/>
    <xf numFmtId="0" fontId="18" fillId="0" borderId="0" xfId="0" applyFont="1"/>
    <xf numFmtId="0" fontId="13" fillId="5" borderId="19" xfId="0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7" fillId="5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E082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5524500</xdr:colOff>
      <xdr:row>3</xdr:row>
      <xdr:rowOff>-19050</xdr:rowOff>
    </xdr:from>
    <xdr:ext cx="1133475" cy="228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81700" y="727050"/>
          <a:ext cx="1262700" cy="240600"/>
        </a:xfrm>
        <a:prstGeom prst="rect">
          <a:avLst/>
        </a:prstGeom>
        <a:solidFill>
          <a:srgbClr val="6AA84F"/>
        </a:solidFill>
        <a:ln w="9525" cap="flat" cmpd="sng">
          <a:solidFill>
            <a:srgbClr val="6AA8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r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0</a:t>
          </a:r>
          <a:endParaRPr sz="1400"/>
        </a:p>
      </xdr:txBody>
    </xdr:sp>
    <xdr:clientData fLocksWithSheet="0"/>
  </xdr:oneCellAnchor>
  <xdr:twoCellAnchor editAs="absolute">
    <xdr:from>
      <xdr:col>1</xdr:col>
      <xdr:colOff>142875</xdr:colOff>
      <xdr:row>1</xdr:row>
      <xdr:rowOff>95250</xdr:rowOff>
    </xdr:from>
    <xdr:to>
      <xdr:col>5</xdr:col>
      <xdr:colOff>142875</xdr:colOff>
      <xdr:row>16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4867032-318A-A107-3018-DDE0A03A26C4}"/>
            </a:ext>
          </a:extLst>
        </xdr:cNvPr>
        <xdr:cNvSpPr txBox="1">
          <a:spLocks noChangeArrowheads="1"/>
        </xdr:cNvSpPr>
      </xdr:nvSpPr>
      <xdr:spPr bwMode="auto">
        <a:xfrm>
          <a:off x="723900" y="414338"/>
          <a:ext cx="8143875" cy="2462212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x18tc:personList xmlns:x18tc="http://schemas.microsoft.com/office/spreadsheetml/2018/threadedcomments">
  <x18tc:person displayName="osaze great-zion" id="{88520b56-e19d-4b8a-a867-326c17b30a35}" providerId="google-sheets"/>
  <x18tc:person displayName="Barth Sheyin" id="{c085852f-1cd4-4dc6-8557-f3e5eebac64c}" providerId="google-sheets"/>
  <x18tc:person displayName="barth tech" id="{57bccd73-bdef-43ff-aff9-823d0f2acfdb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0-25T06:43:37.00" personId="{88520b56-e19d-4b8a-a867-326c17b30a35}" id="{f68bec80-794e-4ce6-8ff9-01d5737540b3}" done="1">
    <x18tc:text xml:space="preserve">Absent for a long time</x18tc:text>
  </x18tc:threadedComment>
  <x18tc:threadedComment ref="A1" dT="2024-10-25T06:44:27.00" personId="{88520b56-e19d-4b8a-a867-326c17b30a35}" id="{b1ca87a8-b6c5-458e-a353-9d0d973db00f}" parentId="{f68bec80-794e-4ce6-8ff9-01d5737540b3}">
    <x18tc:text xml:space="preserve">Marked as resolved</x18tc:text>
  </x18tc:threadedComment>
  <x18tc:threadedComment ref="A1" dT="2024-10-25T18:49:13.00" personId="{c085852f-1cd4-4dc6-8557-f3e5eebac64c}" id="{9a4100bc-ac46-466c-9c97-91abf3b522fd}" parentId="{f68bec80-794e-4ce6-8ff9-01d5737540b3}">
    <x18tc:text xml:space="preserve">Have you viewed the updated attendance Sir?
Re-opened</x18tc:text>
  </x18tc:threadedComment>
  <x18tc:threadedComment ref="A1" dT="2024-10-25T18:49:35.00" personId="{c085852f-1cd4-4dc6-8557-f3e5eebac64c}" id="{9cfed1a0-59aa-4b09-acff-26649bc496ad}" parentId="{f68bec80-794e-4ce6-8ff9-01d5737540b3}">
    <x18tc:text xml:space="preserve">Marked as resolved</x18tc:text>
  </x18tc:threadedComment>
  <x18tc:threadedComment ref="A1" dT="2024-10-26T17:47:37.00" personId="{c085852f-1cd4-4dc6-8557-f3e5eebac64c}" id="{3a7d0be6-b27b-4229-ad3e-7535383c7b83}" parentId="{f68bec80-794e-4ce6-8ff9-01d5737540b3}">
    <x18tc:text xml:space="preserve">Re-opened</x18tc:text>
  </x18tc:threadedComment>
  <x18tc:threadedComment ref="A1" dT="2024-10-20T22:16:31.00" personId="{57bccd73-bdef-43ff-aff9-823d0f2acfdb}" id="{c66ca9fd-cff1-488b-b63f-2e1b5c1ad558}" done="1">
    <x18tc:text xml:space="preserve">This is good</x18tc:text>
  </x18tc:threadedComment>
  <x18tc:threadedComment ref="A1" dT="2024-10-23T19:00:08.00" personId="{c085852f-1cd4-4dc6-8557-f3e5eebac64c}" id="{51186487-3f16-4476-b752-86829d48076d}" parentId="{c66ca9fd-cff1-488b-b63f-2e1b5c1ad558}">
    <x18tc:text xml:space="preserve">Marked as resolved</x18tc:text>
  </x18tc:threadedComment>
  <x18tc:threadedComment ref="A1" dT="2024-10-24T18:18:00.00" personId="{57bccd73-bdef-43ff-aff9-823d0f2acfdb}" id="{1a259fea-204b-423b-b96c-17efca4c0ff4}" parentId="{c66ca9fd-cff1-488b-b63f-2e1b5c1ad558}">
    <x18tc:text xml:space="preserve">Ok
Re-opened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06"/>
  <sheetViews>
    <sheetView tabSelected="1" workbookViewId="0">
      <pane ySplit="3" topLeftCell="A4" activePane="bottomLeft" state="frozen"/>
      <selection pane="bottomLeft" activeCell="B11" sqref="B11"/>
    </sheetView>
  </sheetViews>
  <sheetFormatPr defaultColWidth="12.59765625" defaultRowHeight="15.75" customHeight="1"/>
  <cols>
    <col min="1" max="1" width="8.1328125" customWidth="1"/>
    <col min="2" max="2" width="73.1328125" customWidth="1"/>
    <col min="3" max="4" width="14.1328125" customWidth="1"/>
  </cols>
  <sheetData>
    <row r="1" spans="1:5" ht="25.15">
      <c r="A1" s="1"/>
      <c r="B1" s="35" t="s">
        <v>0</v>
      </c>
      <c r="C1" s="36"/>
      <c r="D1" s="36"/>
      <c r="E1" s="36"/>
    </row>
    <row r="2" spans="1:5" ht="17.649999999999999">
      <c r="C2" s="37"/>
      <c r="D2" s="38"/>
      <c r="E2" s="39"/>
    </row>
    <row r="3" spans="1:5" ht="15">
      <c r="A3" s="2" t="s">
        <v>1</v>
      </c>
      <c r="B3" s="2" t="s">
        <v>2</v>
      </c>
      <c r="C3" s="3" t="s">
        <v>3</v>
      </c>
      <c r="D3" s="3"/>
      <c r="E3" s="3"/>
    </row>
    <row r="4" spans="1:5" ht="12.75">
      <c r="A4" s="4">
        <v>1</v>
      </c>
      <c r="B4" s="4" t="str">
        <f>GENERAL!B8</f>
        <v xml:space="preserve">REV. DR. OSAZE GREAT-ZION, 08188591715; [GO Headquarters]; [Men of Impact]  </v>
      </c>
      <c r="C4" s="5">
        <v>1</v>
      </c>
    </row>
    <row r="5" spans="1:5" ht="12.75">
      <c r="A5" s="4"/>
      <c r="B5" s="4"/>
    </row>
    <row r="6" spans="1:5" ht="12.75">
      <c r="A6" s="4"/>
      <c r="B6" s="4"/>
    </row>
    <row r="7" spans="1:5" ht="12.75">
      <c r="A7" s="4">
        <v>2</v>
      </c>
      <c r="B7" s="4" t="str">
        <f>GENERAL!B11</f>
        <v xml:space="preserve">REV. MRS. EDOSA GREAT-ZION; 08034701063; [President, Women of Purpose] </v>
      </c>
      <c r="C7" s="5">
        <f>SUM(GENERAL!H11,GENERAL!L11,GENERAL!P11,GENERAL!T11,GENERAL!X11)</f>
        <v>0</v>
      </c>
      <c r="D7" s="6"/>
    </row>
    <row r="8" spans="1:5" ht="12.75">
      <c r="A8" s="4"/>
      <c r="B8" s="4"/>
    </row>
    <row r="9" spans="1:5" ht="12.75">
      <c r="A9" s="4"/>
      <c r="B9" s="4"/>
    </row>
    <row r="10" spans="1:5" ht="12.75">
      <c r="A10" s="4">
        <v>3</v>
      </c>
      <c r="B10" s="4" t="str">
        <f>GENERAL!B14</f>
        <v xml:space="preserve">PST. RALPH, 08163941615; [EGEDE Extension Pastor]; [Men of Impact]  </v>
      </c>
      <c r="C10" s="5">
        <f>SUM(GENERAL!H14,GENERAL!L14,GENERAL!P14,GENERAL!T14,GENERAL!X14)</f>
        <v>0</v>
      </c>
    </row>
    <row r="11" spans="1:5" ht="12.75">
      <c r="A11" s="4"/>
      <c r="B11" s="4"/>
    </row>
    <row r="12" spans="1:5" ht="12.75">
      <c r="A12" s="4"/>
      <c r="B12" s="4"/>
    </row>
    <row r="13" spans="1:5" ht="12.75">
      <c r="A13" s="4">
        <v>4</v>
      </c>
      <c r="B13" s="4" t="str">
        <f>GENERAL!B17</f>
        <v xml:space="preserve">PST. ROMANUS I, 09034788649; [Eweka Extension Pastor]; [Men of Impact] </v>
      </c>
      <c r="C13" s="5">
        <f>SUM(GENERAL!H17,GENERAL!L17,GENERAL!P17,GENERAL!T17,GENERAL!X17)</f>
        <v>0</v>
      </c>
    </row>
    <row r="14" spans="1:5" ht="12.75">
      <c r="A14" s="4"/>
      <c r="B14" s="4"/>
    </row>
    <row r="15" spans="1:5" ht="12.75">
      <c r="A15" s="4"/>
      <c r="B15" s="4"/>
    </row>
    <row r="16" spans="1:5" ht="12.75">
      <c r="A16" s="4">
        <v>5</v>
      </c>
      <c r="B16" s="4" t="str">
        <f>GENERAL!B20</f>
        <v xml:space="preserve">PST. SAMUEL, 08066314143; [Extension Pastor]; [Men of Impact] </v>
      </c>
      <c r="C16" s="5">
        <f>SUM(GENERAL!H20,GENERAL!L20,GENERAL!P20,GENERAL!T20,GENERAL!X20)</f>
        <v>0</v>
      </c>
    </row>
    <row r="17" spans="1:3" ht="12.75">
      <c r="A17" s="4"/>
      <c r="B17" s="4"/>
    </row>
    <row r="18" spans="1:3" ht="12.75">
      <c r="A18" s="4"/>
      <c r="B18" s="4"/>
    </row>
    <row r="19" spans="1:3" ht="12.75">
      <c r="A19" s="4">
        <v>6</v>
      </c>
      <c r="B19" s="4" t="str">
        <f>GENERAL!B23</f>
        <v xml:space="preserve">DCN. ESTON 08034747107; [Eweka Extension]; [Men of Impact]  </v>
      </c>
      <c r="C19" s="5">
        <f>SUM(GENERAL!I25,GENERAL!M25,GENERAL!Q25,GENERAL!U25)</f>
        <v>0</v>
      </c>
    </row>
    <row r="20" spans="1:3" ht="12.75">
      <c r="A20" s="4"/>
      <c r="B20" s="4"/>
    </row>
    <row r="21" spans="1:3" ht="12.75">
      <c r="A21" s="4"/>
      <c r="B21" s="4"/>
    </row>
    <row r="22" spans="1:3" ht="12.75">
      <c r="A22" s="4">
        <v>7</v>
      </c>
      <c r="B22" s="4" t="str">
        <f>GENERAL!B26</f>
        <v xml:space="preserve">DCN. ABEL 08131940031; [GRA Extension]; [Men of Impact] </v>
      </c>
      <c r="C22" s="5">
        <f>SUM(GENERAL!I28,GENERAL!M28,GENERAL!Q28,GENERAL!U28)</f>
        <v>0</v>
      </c>
    </row>
    <row r="23" spans="1:3" ht="12.75">
      <c r="A23" s="4"/>
      <c r="B23" s="4"/>
    </row>
    <row r="24" spans="1:3" ht="12.75">
      <c r="A24" s="4"/>
      <c r="B24" s="4"/>
    </row>
    <row r="25" spans="1:3" ht="12.75">
      <c r="A25" s="4">
        <v>8</v>
      </c>
      <c r="B25" s="4" t="str">
        <f>GENERAL!B29</f>
        <v xml:space="preserve">DCN SAM. O 08151215991; [Headquarters, Deacon]; [Men of Impact]  </v>
      </c>
      <c r="C25" s="5">
        <f>SUM(GENERAL!I31,GENERAL!M31,GENERAL!Q31,GENERAL!U31)</f>
        <v>0</v>
      </c>
    </row>
    <row r="26" spans="1:3" ht="12.75">
      <c r="A26" s="4"/>
      <c r="B26" s="4"/>
    </row>
    <row r="27" spans="1:3" ht="12.75">
      <c r="A27" s="4"/>
      <c r="B27" s="4"/>
    </row>
    <row r="28" spans="1:3" ht="25.5">
      <c r="A28" s="4">
        <v>9</v>
      </c>
      <c r="B28" s="4" t="str">
        <f>GENERAL!B32</f>
        <v xml:space="preserve">BRO. JULIUS IMHANA 08108372149; [Headquarters, Men of Impact Chairman]; [Men of Impact] </v>
      </c>
      <c r="C28" s="5">
        <f>SUM(GENERAL!I34,GENERAL!M34,GENERAL!Q34,GENERAL!U34)</f>
        <v>0</v>
      </c>
    </row>
    <row r="29" spans="1:3" ht="12.75">
      <c r="A29" s="4"/>
      <c r="B29" s="4"/>
    </row>
    <row r="30" spans="1:3" ht="12.75">
      <c r="A30" s="4"/>
      <c r="B30" s="4"/>
    </row>
    <row r="31" spans="1:3" ht="12.75">
      <c r="A31" s="4">
        <v>10</v>
      </c>
      <c r="B31" s="4" t="str">
        <f>GENERAL!B35</f>
        <v xml:space="preserve">BRO. MATTHEW 07053928408: [Headquarters Member]; [Men of Impact] </v>
      </c>
      <c r="C31" s="5">
        <f>SUM(GENERAL!I37,GENERAL!M37,GENERAL!Q37,GENERAL!U37)</f>
        <v>0</v>
      </c>
    </row>
    <row r="32" spans="1:3" ht="12.75">
      <c r="A32" s="4"/>
      <c r="B32" s="4"/>
    </row>
    <row r="33" spans="1:3" ht="12.75">
      <c r="A33" s="4"/>
      <c r="B33" s="4"/>
    </row>
    <row r="34" spans="1:3" ht="12.75">
      <c r="A34" s="4">
        <v>11</v>
      </c>
      <c r="B34" s="4" t="str">
        <f>GENERAL!B38</f>
        <v xml:space="preserve">BRO. WISDOM 08066120841: [Headquarters Member]; [Men of Impact] </v>
      </c>
      <c r="C34" s="5">
        <f>SUM(GENERAL!I40,GENERAL!M40,GENERAL!Q40,GENERAL!U40)</f>
        <v>0</v>
      </c>
    </row>
    <row r="35" spans="1:3" ht="12.75">
      <c r="A35" s="4"/>
      <c r="B35" s="4"/>
    </row>
    <row r="36" spans="1:3" ht="15.75" customHeight="1">
      <c r="A36" s="4"/>
      <c r="B36" s="4"/>
    </row>
    <row r="37" spans="1:3" ht="12.75">
      <c r="A37" s="4">
        <v>12</v>
      </c>
      <c r="B37" s="4" t="str">
        <f>GENERAL!B41</f>
        <v>BRO. GODWIN 07059776499: [Headquarters Member]; [Men of Impact]</v>
      </c>
      <c r="C37" s="5">
        <f>SUM(GENERAL!I43,GENERAL!M43,GENERAL!Q43,GENERAL!U43)</f>
        <v>0</v>
      </c>
    </row>
    <row r="38" spans="1:3" ht="12.75">
      <c r="A38" s="4"/>
      <c r="B38" s="4"/>
    </row>
    <row r="39" spans="1:3" ht="12.75">
      <c r="A39" s="4"/>
      <c r="B39" s="4"/>
    </row>
    <row r="40" spans="1:3" ht="12.75">
      <c r="A40" s="4">
        <v>13</v>
      </c>
      <c r="B40" s="4" t="str">
        <f>GENERAL!B44</f>
        <v>BRO. ALEX KENNEDY 08060299070: [Headquarters Member]; [Men of Impact]</v>
      </c>
      <c r="C40" s="5">
        <f>SUM(GENERAL!I46,GENERAL!M46,GENERAL!Q46,GENERAL!U46)</f>
        <v>2</v>
      </c>
    </row>
    <row r="41" spans="1:3" ht="12.75">
      <c r="A41" s="4"/>
      <c r="B41" s="4"/>
    </row>
    <row r="42" spans="1:3" ht="12.75">
      <c r="A42" s="4"/>
      <c r="B42" s="4"/>
    </row>
    <row r="43" spans="1:3" ht="12.75">
      <c r="A43" s="4">
        <v>14</v>
      </c>
      <c r="B43" s="4" t="str">
        <f>GENERAL!B47</f>
        <v>BRO. CHARLES 08051921359: [Headquarters Member]; [Men of Impact]</v>
      </c>
      <c r="C43" s="5">
        <f>SUM(GENERAL!I49,GENERAL!M49,GENERAL!Q49,GENERAL!U49)</f>
        <v>0</v>
      </c>
    </row>
    <row r="44" spans="1:3" ht="12.75">
      <c r="A44" s="4"/>
      <c r="B44" s="4"/>
    </row>
    <row r="45" spans="1:3" ht="12.75">
      <c r="A45" s="4"/>
      <c r="B45" s="4"/>
    </row>
    <row r="46" spans="1:3" ht="12.75">
      <c r="A46" s="4">
        <v>15</v>
      </c>
      <c r="B46" s="4" t="str">
        <f>GENERAL!B49</f>
        <v>BRO. DANIEL 08108460601: [Headquarters Member]; [Men of Impact]</v>
      </c>
      <c r="C46" s="5">
        <f>SUM(GENERAL!I73,GENERAL!M73,GENERAL!Q73,GENERAL!U73)</f>
        <v>0</v>
      </c>
    </row>
    <row r="47" spans="1:3" ht="12.75">
      <c r="A47" s="4"/>
      <c r="B47" s="4"/>
    </row>
    <row r="48" spans="1:3" ht="12.75">
      <c r="A48" s="4"/>
      <c r="B48" s="4"/>
    </row>
    <row r="49" spans="1:3" ht="12.75">
      <c r="A49" s="4">
        <v>16</v>
      </c>
      <c r="B49" s="4" t="str">
        <f>GENERAL!B52</f>
        <v>BRO. UZOMA 09025797913: [Headquarters Member]; [Men of Impact]</v>
      </c>
      <c r="C49" s="5">
        <f>SUM(GENERAL!I54,GENERAL!M54,GENERAL!Q54,GENERAL!U54,GENERAL!X52)</f>
        <v>2</v>
      </c>
    </row>
    <row r="50" spans="1:3" ht="12.75">
      <c r="A50" s="4"/>
      <c r="B50" s="4"/>
    </row>
    <row r="51" spans="1:3" ht="12.75">
      <c r="A51" s="4"/>
      <c r="B51" s="4"/>
    </row>
    <row r="52" spans="1:3" ht="12.75">
      <c r="A52" s="4">
        <v>17</v>
      </c>
      <c r="B52" s="4" t="str">
        <f>GENERAL!B55</f>
        <v>BRO. ESOSA I 08058235675: [Headquarters Member]; [Men of Impact]</v>
      </c>
      <c r="C52" s="5">
        <f>SUM(GENERAL!I57,GENERAL!M57,GENERAL!Q57,GENERAL!U57)</f>
        <v>2</v>
      </c>
    </row>
    <row r="53" spans="1:3" ht="12.75">
      <c r="A53" s="4"/>
      <c r="B53" s="4"/>
    </row>
    <row r="54" spans="1:3" ht="12.75">
      <c r="A54" s="4"/>
      <c r="B54" s="4"/>
    </row>
    <row r="55" spans="1:3" ht="12.75">
      <c r="A55" s="4">
        <v>18</v>
      </c>
      <c r="B55" s="4" t="str">
        <f>GENERAL!B58</f>
        <v>BRO. PAUL ASEMOTA. 08092033463: [Headquarters Member]; [Men of Impact]</v>
      </c>
      <c r="C55" s="5">
        <f>SUM(GENERAL!I60,GENERAL!M60,GENERAL!Q60,GENERAL!U60)</f>
        <v>1</v>
      </c>
    </row>
    <row r="56" spans="1:3" ht="12.75">
      <c r="A56" s="4"/>
      <c r="B56" s="4"/>
    </row>
    <row r="57" spans="1:3" ht="12.75">
      <c r="A57" s="4"/>
      <c r="B57" s="4"/>
    </row>
    <row r="58" spans="1:3" ht="12.75">
      <c r="A58" s="4">
        <v>19</v>
      </c>
      <c r="B58" s="4" t="str">
        <f>GENERAL!B61</f>
        <v>BRO. SAMUEL ETIM 07070256353: [Headquarters Member]; [Men of Impact]</v>
      </c>
      <c r="C58" s="5">
        <f>SUM(GENERAL!I63,GENERAL!M63,GENERAL!Q63,GENERAL!U63)</f>
        <v>0</v>
      </c>
    </row>
    <row r="59" spans="1:3" ht="12.75">
      <c r="A59" s="4"/>
      <c r="B59" s="4"/>
    </row>
    <row r="60" spans="1:3" ht="12.75">
      <c r="A60" s="4"/>
      <c r="B60" s="4"/>
    </row>
    <row r="61" spans="1:3" ht="12.75">
      <c r="A61" s="4">
        <v>20</v>
      </c>
      <c r="B61" s="4" t="str">
        <f>GENERAL!B64</f>
        <v>BRO. SUNNY K. 08035981524: [Headquarters Member]; [Men of Impact]</v>
      </c>
      <c r="C61" s="5">
        <f>SUM(GENERAL!I66,GENERAL!M66,GENERAL!Q66,GENERAL!U66)</f>
        <v>0</v>
      </c>
    </row>
    <row r="62" spans="1:3" ht="12.75">
      <c r="A62" s="4"/>
      <c r="B62" s="4"/>
    </row>
    <row r="63" spans="1:3" ht="12.75">
      <c r="A63" s="4"/>
      <c r="B63" s="4"/>
    </row>
    <row r="64" spans="1:3" ht="12.75">
      <c r="A64" s="4">
        <v>21</v>
      </c>
      <c r="B64" s="4" t="str">
        <f>GENERAL!B67</f>
        <v>BRO. PETER AIGBE 08077625088: [Headquarters Member]; [Men of Impact]</v>
      </c>
      <c r="C64" s="5">
        <f>SUM(GENERAL!I69,GENERAL!M69,GENERAL!Q69,GENERAL!U69)</f>
        <v>0</v>
      </c>
    </row>
    <row r="65" spans="1:3" ht="12.75">
      <c r="A65" s="4"/>
      <c r="B65" s="4"/>
    </row>
    <row r="66" spans="1:3" ht="12.75">
      <c r="A66" s="4"/>
      <c r="B66" s="4"/>
    </row>
    <row r="67" spans="1:3" ht="12.75">
      <c r="A67" s="4">
        <v>22</v>
      </c>
      <c r="B67" s="4" t="str">
        <f>GENERAL!B70</f>
        <v>BRO. SUNNY I 09067583446: [Headquarters Member]; [Men of Impact]</v>
      </c>
      <c r="C67" s="5">
        <f>SUM(GENERAL!I72,GENERAL!M72,GENERAL!Q72,GENERAL!U72)</f>
        <v>0</v>
      </c>
    </row>
    <row r="68" spans="1:3" ht="12.75">
      <c r="A68" s="4"/>
      <c r="B68" s="4"/>
    </row>
    <row r="69" spans="1:3" ht="12.75">
      <c r="A69" s="4"/>
      <c r="B69" s="4"/>
    </row>
    <row r="70" spans="1:3" ht="12.75">
      <c r="A70" s="4">
        <v>23</v>
      </c>
      <c r="B70" s="4" t="str">
        <f>GENERAL!B77</f>
        <v>BRO. MONDAY 09077277209: [Headquarters Member]; [Men of Impact]</v>
      </c>
      <c r="C70" s="5">
        <f>SUM(GENERAL!I79,GENERAL!M79,GENERAL!Q79,GENERAL!U79)</f>
        <v>0</v>
      </c>
    </row>
    <row r="71" spans="1:3" ht="12.75">
      <c r="A71" s="4"/>
      <c r="B71" s="4"/>
    </row>
    <row r="72" spans="1:3" ht="12.75">
      <c r="A72" s="4"/>
      <c r="B72" s="4"/>
    </row>
    <row r="73" spans="1:3" ht="12.75">
      <c r="A73" s="4">
        <v>24</v>
      </c>
      <c r="B73" s="4" t="str">
        <f>GENERAL!B80</f>
        <v>BRO. STEVE AGWEBOR 08143169535: [Headquarters Member]; [Men of Impact]</v>
      </c>
      <c r="C73" s="5">
        <f>SUM(GENERAL!I82,GENERAL!M82,GENERAL!Q82,GENERAL!U82)</f>
        <v>0</v>
      </c>
    </row>
    <row r="74" spans="1:3" ht="12.75">
      <c r="A74" s="4"/>
      <c r="B74" s="4"/>
    </row>
    <row r="75" spans="1:3" ht="12.75">
      <c r="A75" s="4"/>
      <c r="B75" s="4"/>
    </row>
    <row r="76" spans="1:3" ht="12.75">
      <c r="A76" s="4">
        <v>25</v>
      </c>
      <c r="B76" s="4" t="str">
        <f>GENERAL!B83</f>
        <v>BRO. EFOSA 07036845256: [Headquarters Member]; [Men of Impact]</v>
      </c>
      <c r="C76" s="5">
        <f>SUM(GENERAL!I85,GENERAL!M85,GENERAL!Q85,GENERAL!U85)</f>
        <v>0</v>
      </c>
    </row>
    <row r="77" spans="1:3" ht="12.75">
      <c r="A77" s="4"/>
      <c r="B77" s="4"/>
    </row>
    <row r="78" spans="1:3" ht="12.75">
      <c r="A78" s="4"/>
      <c r="B78" s="4"/>
    </row>
    <row r="79" spans="1:3" ht="12.75">
      <c r="A79" s="4">
        <v>26</v>
      </c>
      <c r="B79" s="4" t="str">
        <f>GENERAL!B86</f>
        <v>BRO. THANK-GOD 08111573236: [Headquarters Member]; [Men of Impact]</v>
      </c>
      <c r="C79" s="5">
        <f>SUM(GENERAL!I85,GENERAL!M85,GENERAL!Q85,GENERAL!U85)</f>
        <v>0</v>
      </c>
    </row>
    <row r="80" spans="1:3" ht="12.75">
      <c r="A80" s="4"/>
      <c r="B80" s="4"/>
    </row>
    <row r="81" spans="1:3" ht="12.75">
      <c r="A81" s="4"/>
      <c r="B81" s="4"/>
    </row>
    <row r="82" spans="1:3" ht="12.75">
      <c r="A82" s="4">
        <v>27</v>
      </c>
      <c r="B82" s="4" t="str">
        <f>GENERAL!B89</f>
        <v>BRO. HAPPY I. 08078378791: [Headquarters Member]; [Men of Impact]</v>
      </c>
      <c r="C82" s="5">
        <f>SUM(GENERAL!I91,GENERAL!M91,GENERAL!Q91,GENERAL!U91)</f>
        <v>2</v>
      </c>
    </row>
    <row r="83" spans="1:3" ht="12.75">
      <c r="A83" s="4"/>
      <c r="B83" s="4"/>
    </row>
    <row r="84" spans="1:3" ht="12.75">
      <c r="A84" s="4"/>
      <c r="B84" s="4"/>
    </row>
    <row r="85" spans="1:3" ht="12.75">
      <c r="A85" s="4">
        <v>28</v>
      </c>
      <c r="B85" s="4" t="str">
        <f>GENERAL!B92</f>
        <v xml:space="preserve">BRO. VICTOR 08168554928; [Headquarters, Member]; [Men of Impact] </v>
      </c>
      <c r="C85" s="5">
        <f>SUM(GENERAL!I91,GENERAL!M91,GENERAL!Q91,GENERAL!U91)</f>
        <v>2</v>
      </c>
    </row>
    <row r="86" spans="1:3" ht="12.75">
      <c r="A86" s="4"/>
      <c r="B86" s="4"/>
    </row>
    <row r="87" spans="1:3" ht="12.75">
      <c r="A87" s="4"/>
      <c r="B87" s="4"/>
    </row>
    <row r="88" spans="1:3" ht="12.75">
      <c r="A88" s="4">
        <v>29</v>
      </c>
      <c r="B88" s="4" t="str">
        <f>GENERAL!B95</f>
        <v xml:space="preserve">BRO. GOODNEWS 08164992804: [Headquarters Member]; [Men of Impact] </v>
      </c>
      <c r="C88" s="5">
        <f>SUM(GENERAL!I97,GENERAL!M97,GENERAL!Q97,GENERAL!U97)</f>
        <v>1</v>
      </c>
    </row>
    <row r="89" spans="1:3" ht="12.75">
      <c r="A89" s="4"/>
      <c r="B89" s="4"/>
    </row>
    <row r="90" spans="1:3" ht="12.75">
      <c r="A90" s="4"/>
      <c r="B90" s="4"/>
    </row>
    <row r="91" spans="1:3" ht="12.75">
      <c r="A91" s="4">
        <v>30</v>
      </c>
      <c r="B91" s="4" t="str">
        <f>GENERAL!B98</f>
        <v xml:space="preserve">BRO. SAMUEL 08139968749: [Headquarters Member]; [Men of Impact] </v>
      </c>
      <c r="C91" s="5">
        <f>SUM(GENERAL!I100,GENERAL!M100,GENERAL!Q100,GENERAL!U100)</f>
        <v>2</v>
      </c>
    </row>
    <row r="92" spans="1:3" ht="12.75">
      <c r="A92" s="4"/>
      <c r="B92" s="4"/>
    </row>
    <row r="93" spans="1:3" ht="12.75">
      <c r="A93" s="4"/>
      <c r="B93" s="4"/>
    </row>
    <row r="94" spans="1:3" ht="12.75">
      <c r="A94" s="4">
        <v>31</v>
      </c>
      <c r="B94" s="4" t="str">
        <f>GENERAL!B101</f>
        <v>BRO. WISDOM CHIBUIKE 08059091960: [Headquarters Member]; [Men of Impact]</v>
      </c>
      <c r="C94" s="5">
        <f>SUM(GENERAL!I103,GENERAL!M103,GENERAL!Q103,GENERAL!U103,GENERAL!Y103)</f>
        <v>2</v>
      </c>
    </row>
    <row r="95" spans="1:3" ht="12.75">
      <c r="A95" s="4"/>
      <c r="B95" s="4"/>
    </row>
    <row r="96" spans="1:3" ht="12.75">
      <c r="A96" s="4"/>
      <c r="B96" s="4"/>
    </row>
    <row r="97" spans="1:3" ht="12.75">
      <c r="A97" s="4">
        <v>32</v>
      </c>
      <c r="B97" s="4" t="str">
        <f>GENERAL!B104</f>
        <v>BRO. EPA AKPE 08039469795: [Headquarters Member]; [Men of Impact]</v>
      </c>
      <c r="C97" s="5">
        <f>SUM(GENERAL!I106,GENERAL!M106,GENERAL!Q106,GENERAL!U106)</f>
        <v>2</v>
      </c>
    </row>
    <row r="98" spans="1:3" ht="12.75">
      <c r="A98" s="4"/>
      <c r="B98" s="4"/>
    </row>
    <row r="99" spans="1:3" ht="12.75">
      <c r="A99" s="4"/>
      <c r="B99" s="4"/>
    </row>
    <row r="100" spans="1:3" ht="12.75">
      <c r="A100" s="4">
        <v>33</v>
      </c>
      <c r="B100" s="4" t="str">
        <f>GENERAL!B107</f>
        <v>BRO. SOLOMON 08066599049: [Headquarters Member]; [Men of Impact]</v>
      </c>
      <c r="C100" s="5">
        <f>SUM(GENERAL!I109,GENERAL!M109,GENERAL!Q109,GENERAL!U109)</f>
        <v>0</v>
      </c>
    </row>
    <row r="101" spans="1:3" ht="12.75">
      <c r="A101" s="4"/>
      <c r="B101" s="4"/>
    </row>
    <row r="102" spans="1:3" ht="12.75">
      <c r="A102" s="4"/>
      <c r="B102" s="4"/>
    </row>
    <row r="103" spans="1:3" ht="12.75">
      <c r="A103" s="4">
        <v>34</v>
      </c>
      <c r="B103" s="4" t="str">
        <f>GENERAL!B110</f>
        <v>BRO. PIUS 09032841227: [Headquarters Member]; [Men of Impact]</v>
      </c>
      <c r="C103" s="5">
        <f>SUM(GENERAL!I112,GENERAL!M112,GENERAL!Q112,GENERAL!U112,GENERAL!Y112)</f>
        <v>2</v>
      </c>
    </row>
    <row r="104" spans="1:3" ht="12.75">
      <c r="A104" s="4"/>
      <c r="B104" s="4"/>
    </row>
    <row r="105" spans="1:3" ht="12.75">
      <c r="A105" s="4"/>
      <c r="B105" s="4"/>
    </row>
    <row r="106" spans="1:3" ht="12.75">
      <c r="A106" s="4">
        <v>35</v>
      </c>
      <c r="B106" s="4" t="str">
        <f>GENERAL!B113</f>
        <v>BRO. SAMUEL ETIM 07070256353: [Headquarters Member]; [Men of Impact]</v>
      </c>
      <c r="C106" s="5">
        <f>SUM(GENERAL!I115,GENERAL!M115,GENERAL!Q115,GENERAL!U115)</f>
        <v>0</v>
      </c>
    </row>
    <row r="107" spans="1:3" ht="12.75">
      <c r="A107" s="4"/>
      <c r="B107" s="4"/>
    </row>
    <row r="108" spans="1:3" ht="12.75">
      <c r="A108" s="4"/>
      <c r="B108" s="4"/>
    </row>
    <row r="109" spans="1:3" ht="12.75">
      <c r="A109" s="4">
        <v>39</v>
      </c>
      <c r="B109" s="4" t="str">
        <f>GENERAL!B116</f>
        <v>BRO. I.K NJOKU 09153383840: [Headquarters Member]; [Men of Impact]</v>
      </c>
      <c r="C109" s="5">
        <f>SUM(GENERAL!I118,GENERAL!M118,GENERAL!Q118,GENERAL!U118)</f>
        <v>1</v>
      </c>
    </row>
    <row r="110" spans="1:3" ht="12.75">
      <c r="A110" s="4"/>
      <c r="B110" s="4"/>
    </row>
    <row r="111" spans="1:3" ht="12.75">
      <c r="A111" s="4"/>
      <c r="B111" s="4"/>
    </row>
    <row r="112" spans="1:3" ht="12.75">
      <c r="A112" s="4">
        <v>40</v>
      </c>
      <c r="B112" s="4" t="str">
        <f>GENERAL!B119</f>
        <v>BRO. STANLEY UKEAGBU 08114510462: [Headquarters Member]; [Men of Impact]</v>
      </c>
      <c r="C112" s="5">
        <f>SUM(GENERAL!I121,GENERAL!M121,GENERAL!Q121,GENERAL!U121)</f>
        <v>0</v>
      </c>
    </row>
    <row r="113" spans="1:3" ht="12.75">
      <c r="A113" s="4"/>
      <c r="B113" s="4"/>
    </row>
    <row r="114" spans="1:3" ht="12.75">
      <c r="A114" s="4"/>
      <c r="B114" s="4"/>
    </row>
    <row r="115" spans="1:3" ht="12.75">
      <c r="A115" s="4">
        <v>42</v>
      </c>
      <c r="B115" s="4" t="str">
        <f>GENERAL!B122</f>
        <v>BRO. EHIS O. 08148808661: [Headquarters Member]; [Men of Impact]</v>
      </c>
      <c r="C115" s="5">
        <f>SUM(GENERAL!I124,GENERAL!M124,GENERAL!Q124,GENERAL!U124,GENERAL!Y124)</f>
        <v>2</v>
      </c>
    </row>
    <row r="116" spans="1:3" ht="12.75">
      <c r="A116" s="4"/>
      <c r="B116" s="4"/>
    </row>
    <row r="117" spans="1:3" ht="12.75">
      <c r="A117" s="4"/>
      <c r="B117" s="4"/>
    </row>
    <row r="118" spans="1:3" ht="12.75">
      <c r="A118" s="4">
        <v>43</v>
      </c>
      <c r="B118" s="4" t="str">
        <f>GENERAL!B125</f>
        <v>BRO. EJIRO O. 07053262080: [Headquarters Member]; [Men of Impact]</v>
      </c>
      <c r="C118" s="5">
        <f>SUM(GENERAL!I127,GENERAL!M127,GENERAL!Q127,GENERAL!U127)</f>
        <v>1</v>
      </c>
    </row>
    <row r="119" spans="1:3" ht="12.75">
      <c r="A119" s="4"/>
      <c r="B119" s="4"/>
    </row>
    <row r="120" spans="1:3" ht="12.75">
      <c r="A120" s="4"/>
      <c r="B120" s="4"/>
    </row>
    <row r="121" spans="1:3" ht="12.75">
      <c r="A121" s="4">
        <v>45</v>
      </c>
      <c r="B121" s="4" t="str">
        <f>GENERAL!B128</f>
        <v>BRO. ROGER 08034757329: [Headquarters Member]; [Men of Impact]</v>
      </c>
      <c r="C121" s="5">
        <f>SUM(GENERAL!I130,GENERAL!M130,GENERAL!Q130,GENERAL!U133,GENERAL!Y133)</f>
        <v>2</v>
      </c>
    </row>
    <row r="122" spans="1:3" ht="12.75">
      <c r="A122" s="4"/>
      <c r="B122" s="4"/>
    </row>
    <row r="123" spans="1:3" ht="12.75">
      <c r="A123" s="4"/>
      <c r="B123" s="4"/>
    </row>
    <row r="124" spans="1:3" ht="12.75">
      <c r="A124" s="4">
        <v>46</v>
      </c>
      <c r="B124" s="4" t="str">
        <f>GENERAL!B131</f>
        <v>BRO. FRANCIS (ABROAD) +447388664771: [Headquarters Member]; [Men of Impact]</v>
      </c>
      <c r="C124" s="5">
        <f>SUM(GENERAL!I352,GENERAL!M352,GENERAL!Q352,GENERAL!U352,GENERAL!Y352)</f>
        <v>0</v>
      </c>
    </row>
    <row r="125" spans="1:3" ht="12.75">
      <c r="A125" s="4"/>
      <c r="B125" s="4"/>
    </row>
    <row r="126" spans="1:3" ht="12.75">
      <c r="A126" s="4"/>
      <c r="B126" s="4"/>
    </row>
    <row r="127" spans="1:3" ht="25.5">
      <c r="A127" s="4">
        <v>51</v>
      </c>
      <c r="B127" s="4" t="str">
        <f>GENERAL!B134</f>
        <v>MRS. ROSELINE NOSAKHARE; 08034701063: [Headquarters Member]; [Women of Purpose]</v>
      </c>
      <c r="C127" s="5">
        <f>SUM(GENERAL!I136,GENERAL!M136,GENERAL!Q136,GENERAL!U136)</f>
        <v>0</v>
      </c>
    </row>
    <row r="128" spans="1:3" ht="12.75">
      <c r="A128" s="4"/>
      <c r="B128" s="4"/>
    </row>
    <row r="129" spans="1:3" ht="12.75">
      <c r="A129" s="4"/>
      <c r="B129" s="4"/>
    </row>
    <row r="130" spans="1:3" ht="12.75">
      <c r="A130" s="4">
        <v>52</v>
      </c>
      <c r="B130" s="4" t="str">
        <f>GENERAL!B137</f>
        <v>GRACE ALRUSI; NO PHONE: [Headquarters Member]; [Women of Purpose]</v>
      </c>
      <c r="C130" s="5">
        <f>SUM(GENERAL!I139,GENERAL!M139,GENERAL!Q139,GENERAL!U139)</f>
        <v>0</v>
      </c>
    </row>
    <row r="131" spans="1:3" ht="12.75">
      <c r="A131" s="4"/>
      <c r="B131" s="4"/>
    </row>
    <row r="132" spans="1:3" ht="12.75">
      <c r="A132" s="4"/>
      <c r="B132" s="4"/>
    </row>
    <row r="133" spans="1:3" ht="12.75">
      <c r="A133" s="4">
        <v>53</v>
      </c>
      <c r="B133" s="4" t="str">
        <f>GENERAL!B140</f>
        <v>MAMA JUNIOR; 0906686813: [Headquarters Member]; [Women of Purpose]</v>
      </c>
      <c r="C133" s="5">
        <f>SUM(GENERAL!I142,GENERAL!M142,GENERAL!Q142,GENERAL!U142)</f>
        <v>0</v>
      </c>
    </row>
    <row r="134" spans="1:3" ht="12.75">
      <c r="A134" s="4"/>
      <c r="B134" s="4"/>
    </row>
    <row r="135" spans="1:3" ht="12.75">
      <c r="A135" s="4"/>
      <c r="B135" s="4"/>
    </row>
    <row r="136" spans="1:3" ht="12.75">
      <c r="A136" s="4">
        <v>54</v>
      </c>
      <c r="B136" s="4" t="str">
        <f>GENERAL!B143</f>
        <v>MRS. CLEMENT; 09131528956: [Headquarters Member]; [Women of Purpose]</v>
      </c>
      <c r="C136" s="5">
        <f>SUM(GENERAL!I145,GENERAL!M145,GENERAL!Q145,GENERAL!U145)</f>
        <v>0</v>
      </c>
    </row>
    <row r="137" spans="1:3" ht="12.75">
      <c r="A137" s="4"/>
      <c r="B137" s="4"/>
    </row>
    <row r="138" spans="1:3" ht="12.75">
      <c r="A138" s="4"/>
      <c r="B138" s="4"/>
    </row>
    <row r="139" spans="1:3" ht="25.5">
      <c r="A139" s="4">
        <v>55</v>
      </c>
      <c r="B139" s="4" t="str">
        <f>GENERAL!B146</f>
        <v>MAMA HAPPY (ELO FRANCIS); 07065345165: [Headquarters Member]; [Women of Purpose]</v>
      </c>
      <c r="C139" s="5">
        <f>SUM(GENERAL!I148,GENERAL!M148,GENERAL!Q148,GENERAL!U148)</f>
        <v>0</v>
      </c>
    </row>
    <row r="140" spans="1:3" ht="12.75">
      <c r="A140" s="4"/>
      <c r="B140" s="4"/>
    </row>
    <row r="141" spans="1:3" ht="12.75">
      <c r="A141" s="4"/>
      <c r="B141" s="4"/>
    </row>
    <row r="142" spans="1:3" ht="12.75">
      <c r="A142" s="4">
        <v>56</v>
      </c>
      <c r="B142" s="4" t="str">
        <f>GENERAL!B149</f>
        <v>MRS. AGBUSA (SNR); NO PHONE: [Headquarters Member]; [Women of Purpose]</v>
      </c>
      <c r="C142" s="5">
        <f>SUM(GENERAL!I151,GENERAL!M151,GENERAL!Q151,GENERAL!U151)</f>
        <v>0</v>
      </c>
    </row>
    <row r="143" spans="1:3" ht="12.75">
      <c r="A143" s="4"/>
      <c r="B143" s="4"/>
    </row>
    <row r="144" spans="1:3" ht="12.75">
      <c r="A144" s="4"/>
      <c r="B144" s="4"/>
    </row>
    <row r="145" spans="1:3" ht="12.75">
      <c r="A145" s="4">
        <v>57</v>
      </c>
      <c r="B145" s="4" t="str">
        <f>GENERAL!B152</f>
        <v>MRS. AGBUSA (JNR);NO PHONE: [Headquarters Member]; [Women of Purpose]</v>
      </c>
      <c r="C145" s="5">
        <f>SUM(GENERAL!I154,GENERAL!M154,GENERAL!Q154,GENERAL!U154)</f>
        <v>0</v>
      </c>
    </row>
    <row r="146" spans="1:3" ht="12.75">
      <c r="A146" s="4"/>
      <c r="B146" s="4"/>
    </row>
    <row r="147" spans="1:3" ht="12.75">
      <c r="A147" s="4"/>
      <c r="B147" s="4"/>
    </row>
    <row r="148" spans="1:3" ht="12.75">
      <c r="A148" s="4">
        <v>58</v>
      </c>
      <c r="B148" s="4" t="str">
        <f>GENERAL!B155</f>
        <v>MRS. OSAYI; 0807165812: [Headquarters Member]; [Women of Purpose]</v>
      </c>
      <c r="C148" s="5">
        <f>SUM(GENERAL!I157,GENERAL!M157,GENERAL!Q157,GENERAL!U157)</f>
        <v>0</v>
      </c>
    </row>
    <row r="149" spans="1:3" ht="12.75">
      <c r="A149" s="4"/>
      <c r="B149" s="4"/>
    </row>
    <row r="150" spans="1:3" ht="12.75">
      <c r="A150" s="4"/>
      <c r="B150" s="4"/>
    </row>
    <row r="151" spans="1:3" ht="12.75">
      <c r="A151" s="4">
        <v>59</v>
      </c>
      <c r="B151" s="4" t="str">
        <f>GENERAL!B158</f>
        <v>MRS. BLACKY; 0905637022: [Headquarters Member]; [Women of Purpose]</v>
      </c>
      <c r="C151" s="5">
        <f>SUM(GENERAL!I160,GENERAL!M160,GENERAL!Q160,GENERAL!U160)</f>
        <v>0</v>
      </c>
    </row>
    <row r="152" spans="1:3" ht="12.75">
      <c r="A152" s="4"/>
      <c r="B152" s="4"/>
    </row>
    <row r="153" spans="1:3" ht="12.75">
      <c r="A153" s="4"/>
      <c r="B153" s="4"/>
    </row>
    <row r="154" spans="1:3" ht="12.75">
      <c r="A154" s="4">
        <v>60</v>
      </c>
      <c r="B154" s="4" t="str">
        <f>GENERAL!B161</f>
        <v>MRS. GIFT MADUKA; 0805564481: [Headquarters Member]; [Women of Purpose]</v>
      </c>
      <c r="C154" s="5">
        <f>SUM(GENERAL!I163,GENERAL!M163,GENERAL!Q163,GENERAL!U163)</f>
        <v>0</v>
      </c>
    </row>
    <row r="155" spans="1:3" ht="12.75">
      <c r="A155" s="4"/>
      <c r="B155" s="4"/>
    </row>
    <row r="156" spans="1:3" ht="12.75">
      <c r="A156" s="4"/>
      <c r="B156" s="4"/>
    </row>
    <row r="157" spans="1:3" ht="25.5">
      <c r="A157" s="4">
        <v>61</v>
      </c>
      <c r="B157" s="4" t="str">
        <f>GENERAL!B164</f>
        <v>MRS. ESOSA (MAMA MUDIA); 0912935814: [Headquarters Member]; [Women of Purpose]</v>
      </c>
      <c r="C157" s="5">
        <f>SUM(GENERAL!I166,GENERAL!M166,GENERAL!Q166,GENERAL!U166)</f>
        <v>0</v>
      </c>
    </row>
    <row r="158" spans="1:3" ht="12.75">
      <c r="A158" s="4"/>
      <c r="B158" s="4"/>
    </row>
    <row r="159" spans="1:3" ht="12.75">
      <c r="A159" s="4"/>
      <c r="B159" s="4"/>
    </row>
    <row r="160" spans="1:3" ht="12.75">
      <c r="A160" s="4">
        <v>62</v>
      </c>
      <c r="B160" s="4" t="str">
        <f>GENERAL!B167</f>
        <v>MRS. PATRICIA; NO PHONE: [Headquarters Member]; [Women of Purpose]</v>
      </c>
      <c r="C160" s="5">
        <f>SUM(GENERAL!I169,GENERAL!M169,GENERAL!Q169,GENERAL!U169)</f>
        <v>0</v>
      </c>
    </row>
    <row r="161" spans="1:3" ht="12.75">
      <c r="A161" s="4"/>
      <c r="B161" s="4"/>
    </row>
    <row r="162" spans="1:3" ht="12.75">
      <c r="A162" s="4"/>
      <c r="B162" s="4"/>
    </row>
    <row r="163" spans="1:3" ht="12.75">
      <c r="A163" s="4">
        <v>63</v>
      </c>
      <c r="B163" s="4" t="str">
        <f>GENERAL!B170</f>
        <v>MRS. LAURA KOMA; 0705802421: [Headquarters Member]; [Women of Purpose]</v>
      </c>
      <c r="C163" s="5">
        <f>SUM(GENERAL!I172,GENERAL!M172,GENERAL!Q172,GENERAL!U172)</f>
        <v>0</v>
      </c>
    </row>
    <row r="164" spans="1:3" ht="15" customHeight="1">
      <c r="A164" s="4"/>
      <c r="B164" s="4"/>
    </row>
    <row r="165" spans="1:3" ht="15" customHeight="1">
      <c r="A165" s="4"/>
      <c r="B165" s="4"/>
    </row>
    <row r="166" spans="1:3" ht="15" customHeight="1">
      <c r="A166" s="4">
        <v>64</v>
      </c>
      <c r="B166" s="4" t="str">
        <f>GENERAL!B173</f>
        <v>MRS. OGBEIDE; NO PHONE: [Headquarters Member]; [Women of Purpose]</v>
      </c>
      <c r="C166" s="5">
        <f>SUM(GENERAL!I175,GENERAL!M175,GENERAL!Q175,GENERAL!U175)</f>
        <v>0</v>
      </c>
    </row>
    <row r="167" spans="1:3" ht="12.75">
      <c r="A167" s="4"/>
      <c r="B167" s="4"/>
    </row>
    <row r="168" spans="1:3" ht="12.75">
      <c r="A168" s="4"/>
      <c r="B168" s="4"/>
    </row>
    <row r="169" spans="1:3" ht="12.75">
      <c r="A169" s="4">
        <v>65</v>
      </c>
      <c r="B169" s="4" t="str">
        <f>GENERAL!B176</f>
        <v>MRS. SUNDAY EVELYN; 0703759905: [Headquarters Member]; [Women of Purpose]</v>
      </c>
      <c r="C169" s="5">
        <f>SUM(GENERAL!I178,GENERAL!M178,GENERAL!Q178,GENERAL!U178)</f>
        <v>0</v>
      </c>
    </row>
    <row r="170" spans="1:3" ht="12.75">
      <c r="A170" s="4"/>
      <c r="B170" s="4"/>
    </row>
    <row r="171" spans="1:3" ht="12.75">
      <c r="A171" s="4"/>
      <c r="B171" s="4"/>
    </row>
    <row r="172" spans="1:3" ht="12.75">
      <c r="A172" s="4">
        <v>66</v>
      </c>
      <c r="B172" s="4" t="str">
        <f>GENERAL!B179</f>
        <v>MRS. ROGER; NO PHONE: [Headquarters Member]; [Women of Purpose]</v>
      </c>
      <c r="C172" s="5">
        <f>SUM(GENERAL!I181,GENERAL!M181,GENERAL!Q181,GENERAL!U181)</f>
        <v>0</v>
      </c>
    </row>
    <row r="173" spans="1:3" ht="12.75">
      <c r="A173" s="4"/>
      <c r="B173" s="4"/>
    </row>
    <row r="174" spans="1:3" ht="12.75">
      <c r="A174" s="4"/>
      <c r="B174" s="4"/>
    </row>
    <row r="175" spans="1:3" ht="12.75">
      <c r="A175" s="4">
        <v>67</v>
      </c>
      <c r="B175" s="4" t="str">
        <f>GENERAL!B182</f>
        <v>MRS. AMO; NO PHONE: [Headquarters Member]; [Women of Purpose]</v>
      </c>
      <c r="C175" s="5">
        <f>SUM(GENERAL!I184,GENERAL!M184,GENERAL!Q184,GENERAL!U184)</f>
        <v>0</v>
      </c>
    </row>
    <row r="176" spans="1:3" ht="12.75">
      <c r="A176" s="4"/>
      <c r="B176" s="4"/>
    </row>
    <row r="177" spans="1:3" ht="12.75">
      <c r="A177" s="4"/>
      <c r="B177" s="4"/>
    </row>
    <row r="178" spans="1:3" ht="25.5">
      <c r="A178" s="4">
        <v>68</v>
      </c>
      <c r="B178" s="4" t="str">
        <f>GENERAL!B185</f>
        <v>MRS. ANABEL (MAMA EMMA); NO PHONE: [Headquarters Member]; [Women of Purpose]</v>
      </c>
      <c r="C178" s="5">
        <f>SUM(GENERAL!I187,GENERAL!M187,GENERAL!Q187,GENERAL!U187)</f>
        <v>0</v>
      </c>
    </row>
    <row r="179" spans="1:3" ht="12.75">
      <c r="A179" s="4"/>
      <c r="B179" s="4"/>
    </row>
    <row r="180" spans="1:3" ht="12.75">
      <c r="A180" s="4"/>
      <c r="B180" s="4"/>
    </row>
    <row r="181" spans="1:3" ht="12.75">
      <c r="A181" s="4">
        <v>69</v>
      </c>
      <c r="B181" s="4" t="str">
        <f>GENERAL!B188</f>
        <v>MRS. ISIBOR; NO PHONE: [Headquarters Member]; [Women of Purpose]</v>
      </c>
      <c r="C181" s="5">
        <f>SUM(GENERAL!I190,GENERAL!M190,GENERAL!Q190,GENERAL!U190)</f>
        <v>0</v>
      </c>
    </row>
    <row r="182" spans="1:3" ht="12.75">
      <c r="A182" s="4"/>
      <c r="B182" s="4"/>
    </row>
    <row r="183" spans="1:3" ht="12.75">
      <c r="A183" s="4"/>
      <c r="B183" s="4"/>
    </row>
    <row r="184" spans="1:3" ht="12.75">
      <c r="A184" s="4">
        <v>70</v>
      </c>
      <c r="B184" s="4" t="str">
        <f>GENERAL!B191</f>
        <v>MRS. IMUWYAN OSA; 0807994392: [Headquarters Member]; [Women of Purpose]</v>
      </c>
      <c r="C184" s="5">
        <f>SUM(GENERAL!I193,GENERAL!M193,GENERAL!Q193,GENERAL!U193)</f>
        <v>0</v>
      </c>
    </row>
    <row r="185" spans="1:3" ht="12.75">
      <c r="A185" s="4"/>
      <c r="B185" s="4"/>
    </row>
    <row r="186" spans="1:3" ht="12.75">
      <c r="A186" s="4"/>
      <c r="B186" s="4"/>
    </row>
    <row r="187" spans="1:3" ht="12.75">
      <c r="A187" s="4">
        <v>71</v>
      </c>
      <c r="B187" s="4" t="str">
        <f>GENERAL!B194</f>
        <v>MRS. AIGBE (EPA’S WIFE); NO PHONE: [Headquarters Member]; [Women of Purpose]</v>
      </c>
      <c r="C187" s="5">
        <f>SUM(GENERAL!I196,GENERAL!M196,GENERAL!Q196,GENERAL!U196)</f>
        <v>0</v>
      </c>
    </row>
    <row r="188" spans="1:3" ht="12.75">
      <c r="A188" s="4"/>
      <c r="B188" s="4"/>
    </row>
    <row r="189" spans="1:3" ht="12.75">
      <c r="A189" s="4"/>
      <c r="B189" s="4"/>
    </row>
    <row r="190" spans="1:3" ht="25.5">
      <c r="A190" s="4">
        <v>72</v>
      </c>
      <c r="B190" s="4" t="str">
        <f>GENERAL!B197</f>
        <v>MRS. IMUWYANOSA (SNR); NO PHONE: [Headquarters Member]; [Women of Purpose]</v>
      </c>
      <c r="C190" s="5">
        <f>SUM(GENERAL!I199,GENERAL!M199,GENERAL!Q199,GENERAL!U199)</f>
        <v>0</v>
      </c>
    </row>
    <row r="191" spans="1:3" ht="12.75">
      <c r="A191" s="4"/>
      <c r="B191" s="4"/>
    </row>
    <row r="192" spans="1:3" ht="12.75">
      <c r="A192" s="4"/>
      <c r="B192" s="4"/>
    </row>
    <row r="193" spans="1:3" ht="25.5">
      <c r="A193" s="4">
        <v>73</v>
      </c>
      <c r="B193" s="4" t="str">
        <f>GENERAL!B200</f>
        <v>MRS. GLORIA MADUKA UZOMA; NO PHONE: [Headquarters Member]; [Women of Purpose]</v>
      </c>
      <c r="C193" s="5">
        <f>SUM(GENERAL!I202,GENERAL!M202,GENERAL!Q202,GENERAL!U202)</f>
        <v>0</v>
      </c>
    </row>
    <row r="194" spans="1:3" ht="12.75">
      <c r="A194" s="4"/>
      <c r="B194" s="4"/>
    </row>
    <row r="195" spans="1:3" ht="12.75">
      <c r="A195" s="4"/>
      <c r="B195" s="4"/>
    </row>
    <row r="196" spans="1:3" ht="12.75">
      <c r="A196" s="4">
        <v>74</v>
      </c>
      <c r="B196" s="4" t="str">
        <f>GENERAL!B203</f>
        <v>MRS. KATE BENEDICT; NO PHONE: [Headquarters Member]; [Women of Purpose]</v>
      </c>
      <c r="C196" s="5">
        <f>SUM(GENERAL!I205,GENERAL!M205,GENERAL!Q205,GENERAL!U205)</f>
        <v>0</v>
      </c>
    </row>
    <row r="197" spans="1:3" ht="12.75">
      <c r="A197" s="4"/>
      <c r="B197" s="4"/>
    </row>
    <row r="198" spans="1:3" ht="12.75">
      <c r="A198" s="4"/>
      <c r="B198" s="4"/>
    </row>
    <row r="199" spans="1:3" ht="25.5">
      <c r="A199" s="4">
        <v>75</v>
      </c>
      <c r="B199" s="4" t="str">
        <f>GENERAL!B206</f>
        <v>MRS. ISREAL (MAMA ISREAL); 0915331: [Headquarters Member]; [Women of Purpose]</v>
      </c>
      <c r="C199" s="5">
        <f>SUM(GENERAL!I208,GENERAL!M208,GENERAL!Q208,GENERAL!U208)</f>
        <v>0</v>
      </c>
    </row>
    <row r="200" spans="1:3" ht="12.75">
      <c r="A200" s="4"/>
      <c r="B200" s="4"/>
    </row>
    <row r="201" spans="1:3" ht="12.75">
      <c r="A201" s="4"/>
      <c r="B201" s="4"/>
    </row>
    <row r="202" spans="1:3" ht="12.75">
      <c r="A202" s="4">
        <v>76</v>
      </c>
      <c r="B202" s="4" t="str">
        <f>GENERAL!B209</f>
        <v>MRS. JOSPHINE; NO PHONE: [Headquarters Member]; [Women of Purpose]</v>
      </c>
      <c r="C202" s="5">
        <f>SUM(GENERAL!I211,GENERAL!M211,GENERAL!Q211,GENERAL!U211)</f>
        <v>0</v>
      </c>
    </row>
    <row r="203" spans="1:3" ht="12.75">
      <c r="A203" s="4"/>
      <c r="B203" s="4"/>
    </row>
    <row r="204" spans="1:3" ht="12.75">
      <c r="A204" s="4"/>
      <c r="B204" s="4"/>
    </row>
    <row r="205" spans="1:3" ht="12.75">
      <c r="A205" s="4">
        <v>77</v>
      </c>
      <c r="B205" s="4" t="str">
        <f>GENERAL!B212</f>
        <v>MRS. SONAL DANIEL; NO PHONE: [Headquarters Member]; [Women of Purpose]</v>
      </c>
      <c r="C205" s="5">
        <f>SUM(GENERAL!I214,GENERAL!M214,GENERAL!Q214,GENERAL!U214)</f>
        <v>0</v>
      </c>
    </row>
    <row r="206" spans="1:3" ht="12.75">
      <c r="A206" s="4"/>
      <c r="B206" s="4"/>
    </row>
    <row r="207" spans="1:3" ht="12.75">
      <c r="A207" s="4"/>
      <c r="B207" s="4"/>
    </row>
    <row r="208" spans="1:3" ht="12.75">
      <c r="A208" s="4">
        <v>78</v>
      </c>
      <c r="B208" s="4" t="str">
        <f>GENERAL!B215</f>
        <v>MRS. IT (LANSH); NO PHONE: [Headquarters Member]; [Women of Purpose]</v>
      </c>
      <c r="C208" s="5">
        <f>SUM(GENERAL!I217,GENERAL!M217,GENERAL!Q217,GENERAL!U217)</f>
        <v>0</v>
      </c>
    </row>
    <row r="209" spans="1:3" ht="12.75">
      <c r="A209" s="4"/>
      <c r="B209" s="4"/>
    </row>
    <row r="210" spans="1:3" ht="12.75">
      <c r="A210" s="4"/>
      <c r="B210" s="4"/>
    </row>
    <row r="211" spans="1:3" ht="16.5" customHeight="1">
      <c r="A211" s="4">
        <v>79</v>
      </c>
      <c r="B211" s="4" t="str">
        <f>GENERAL!B218</f>
        <v>MAMA UDU; NO PHONE: [Headquarters Member]; [Women of Purpose]</v>
      </c>
      <c r="C211" s="5">
        <f>SUM(GENERAL!I220,GENERAL!M220,GENERAL!Q220,GENERAL!U220)</f>
        <v>0</v>
      </c>
    </row>
    <row r="212" spans="1:3" ht="12.75">
      <c r="A212" s="4"/>
      <c r="B212" s="4"/>
    </row>
    <row r="213" spans="1:3" ht="12.75">
      <c r="A213" s="4"/>
      <c r="B213" s="4"/>
    </row>
    <row r="214" spans="1:3" ht="12.75">
      <c r="A214" s="4">
        <v>80</v>
      </c>
      <c r="B214" s="4" t="str">
        <f>GENERAL!B221</f>
        <v>IYE OPPOSITE;NO PHONE: [Headquarters Member]; [Women of Purpose]</v>
      </c>
      <c r="C214" s="5">
        <f>SUM(GENERAL!I223,GENERAL!M223,GENERAL!Q223,GENERAL!U223)</f>
        <v>0</v>
      </c>
    </row>
    <row r="215" spans="1:3" ht="12.75">
      <c r="A215" s="4"/>
      <c r="B215" s="4"/>
    </row>
    <row r="216" spans="1:3" ht="12.75">
      <c r="A216" s="4"/>
      <c r="B216" s="4"/>
    </row>
    <row r="217" spans="1:3" ht="12.75">
      <c r="A217" s="4">
        <v>81</v>
      </c>
      <c r="B217" s="4" t="str">
        <f>GENERAL!B224</f>
        <v>VIVIAN; NO PHONE: [Headquarters Member]; [Women of Purpose]</v>
      </c>
      <c r="C217" s="5">
        <f>SUM(GENERAL!I226,GENERAL!M226,GENERAL!Q226,GENERAL!U226)</f>
        <v>0</v>
      </c>
    </row>
    <row r="218" spans="1:3" ht="12.75">
      <c r="A218" s="4"/>
      <c r="B218" s="4"/>
    </row>
    <row r="219" spans="1:3" ht="12.75">
      <c r="A219" s="4"/>
      <c r="B219" s="4"/>
    </row>
    <row r="220" spans="1:3" ht="18" customHeight="1">
      <c r="A220" s="4">
        <v>82</v>
      </c>
      <c r="B220" s="4" t="str">
        <f>GENERAL!B227</f>
        <v>MRS. STELLA ELVIS; 09037120959: [Headquarters Member]; [Women of Purpose]</v>
      </c>
      <c r="C220" s="5">
        <f>SUM(GENERAL!I229,GENERAL!M229,GENERAL!Q229,GENERAL!U229)</f>
        <v>0</v>
      </c>
    </row>
    <row r="221" spans="1:3" ht="12.75">
      <c r="A221" s="4"/>
      <c r="B221" s="4"/>
    </row>
    <row r="222" spans="1:3" ht="12.75">
      <c r="A222" s="4"/>
      <c r="B222" s="4"/>
    </row>
    <row r="223" spans="1:3" ht="12.75">
      <c r="A223" s="4">
        <v>83</v>
      </c>
      <c r="B223" s="4" t="str">
        <f>GENERAL!B230</f>
        <v>MRS. AIGBOSA; NO PHONE: [Headquarters Member]; [Women of Purpose]</v>
      </c>
      <c r="C223" s="5">
        <f>SUM(GENERAL!I232,GENERAL!M232,GENERAL!Q232,GENERAL!U232)</f>
        <v>0</v>
      </c>
    </row>
    <row r="224" spans="1:3" ht="12.75">
      <c r="A224" s="4"/>
      <c r="B224" s="4"/>
    </row>
    <row r="225" spans="1:3" ht="12.75">
      <c r="A225" s="4"/>
      <c r="B225" s="4"/>
    </row>
    <row r="226" spans="1:3" ht="12.75">
      <c r="A226" s="4">
        <v>84</v>
      </c>
      <c r="B226" s="4" t="str">
        <f>GENERAL!B233</f>
        <v>MRS. JENNIFER AYO; 08037581459: [Headquarters Member]; [Women of Purpose]</v>
      </c>
      <c r="C226" s="5">
        <f>SUM(GENERAL!I235,GENERAL!M235,GENERAL!Q235,GENERAL!U235)</f>
        <v>0</v>
      </c>
    </row>
    <row r="227" spans="1:3" ht="12.75">
      <c r="A227" s="4"/>
      <c r="B227" s="4"/>
    </row>
    <row r="228" spans="1:3" ht="12.75">
      <c r="A228" s="4"/>
      <c r="B228" s="4"/>
    </row>
    <row r="229" spans="1:3" ht="16.5" customHeight="1">
      <c r="A229" s="4">
        <v>85</v>
      </c>
      <c r="B229" s="4" t="str">
        <f>GENERAL!B236</f>
        <v>MRS. CLEMENT; 09006868137: [Headquarters Member]; [Women of Purpose]</v>
      </c>
      <c r="C229" s="5">
        <f>SUM(GENERAL!I238,GENERAL!M238,GENERAL!Q238,GENERAL!U238)</f>
        <v>0</v>
      </c>
    </row>
    <row r="230" spans="1:3" ht="12.75">
      <c r="A230" s="4"/>
      <c r="B230" s="4"/>
    </row>
    <row r="231" spans="1:3" ht="12.75">
      <c r="A231" s="4"/>
      <c r="B231" s="4"/>
    </row>
    <row r="232" spans="1:3" ht="12.75">
      <c r="A232" s="4">
        <v>86</v>
      </c>
      <c r="B232" s="4" t="str">
        <f>GENERAL!B239</f>
        <v>MRS. BARTHOLOMEW; 08168501206: [Headquarters Member]; [Women of Purpose]</v>
      </c>
      <c r="C232" s="5">
        <f>SUM(GENERAL!I241,GENERAL!M241,GENERAL!Q241,GENERAL!U241)</f>
        <v>0</v>
      </c>
    </row>
    <row r="233" spans="1:3" ht="12.75">
      <c r="A233" s="4"/>
      <c r="B233" s="4"/>
    </row>
    <row r="234" spans="1:3" ht="12.75">
      <c r="A234" s="4"/>
      <c r="B234" s="4"/>
    </row>
    <row r="235" spans="1:3" ht="12.75">
      <c r="A235" s="4">
        <v>87</v>
      </c>
      <c r="B235" s="4" t="str">
        <f>GENERAL!B242</f>
        <v>MRS. OSARETIN GRACE; 08068346590: [Headquarters Member]; [Women of Purpose]</v>
      </c>
      <c r="C235" s="5">
        <f>SUM(GENERAL!I244,GENERAL!M244,GENERAL!Q244,GENERAL!U244)</f>
        <v>0</v>
      </c>
    </row>
    <row r="236" spans="1:3" ht="12.75">
      <c r="A236" s="4"/>
      <c r="B236" s="4"/>
    </row>
    <row r="237" spans="1:3" ht="12.75">
      <c r="A237" s="4"/>
      <c r="B237" s="4"/>
    </row>
    <row r="238" spans="1:3" ht="12.75">
      <c r="A238" s="4">
        <v>88</v>
      </c>
      <c r="B238" s="4" t="str">
        <f>GENERAL!B245</f>
        <v>MAMA RAYMOND; 07064649021: [Headquarters Member]; [Women of Purpose]</v>
      </c>
      <c r="C238" s="5">
        <f>SUM(GENERAL!I247,GENERAL!M247,GENERAL!Q247,GENERAL!U247)</f>
        <v>0</v>
      </c>
    </row>
    <row r="239" spans="1:3" ht="12.75">
      <c r="A239" s="4"/>
      <c r="B239" s="4"/>
    </row>
    <row r="240" spans="1:3" ht="12.75">
      <c r="A240" s="4"/>
      <c r="B240" s="4"/>
    </row>
    <row r="241" spans="1:3" ht="12.75">
      <c r="A241" s="4">
        <v>89</v>
      </c>
      <c r="B241" s="4" t="str">
        <f>GENERAL!B248</f>
        <v>ROSE IDAHOR; 07085922586: [Headquarters Member]; [Women of Purpose]</v>
      </c>
      <c r="C241" s="5">
        <f>SUM(GENERAL!I250,GENERAL!M250,GENERAL!Q250,GENERAL!U250)</f>
        <v>0</v>
      </c>
    </row>
    <row r="242" spans="1:3" ht="12.75">
      <c r="A242" s="4"/>
      <c r="B242" s="4"/>
    </row>
    <row r="243" spans="1:3" ht="12.75">
      <c r="A243" s="4"/>
      <c r="B243" s="4"/>
    </row>
    <row r="244" spans="1:3" ht="25.5">
      <c r="A244" s="4">
        <v>90</v>
      </c>
      <c r="B244" s="4" t="str">
        <f>GENERAL!B251</f>
        <v>BLESSING MONDAR (MRS); 07085922586: [Headquarters Member]; [Women of Purpose]</v>
      </c>
      <c r="C244" s="5">
        <f>SUM(GENERAL!I253,GENERAL!M253,GENERAL!Q253,GENERAL!U253)</f>
        <v>0</v>
      </c>
    </row>
    <row r="245" spans="1:3" ht="12.75">
      <c r="A245" s="4"/>
      <c r="B245" s="4"/>
    </row>
    <row r="246" spans="1:3" ht="12.75">
      <c r="A246" s="4"/>
      <c r="B246" s="4"/>
    </row>
    <row r="247" spans="1:3" ht="12.75">
      <c r="A247" s="4">
        <v>91</v>
      </c>
      <c r="B247" s="4" t="str">
        <f>GENERAL!B254</f>
        <v>BLESSING; NO PHONE: [Headquarters Member]; [Women of Purpose]</v>
      </c>
      <c r="C247" s="5">
        <f>SUM(GENERAL!I256,GENERAL!M256,GENERAL!Q256,GENERAL!U256)</f>
        <v>0</v>
      </c>
    </row>
    <row r="248" spans="1:3" ht="12.75">
      <c r="A248" s="4"/>
      <c r="B248" s="4"/>
    </row>
    <row r="249" spans="1:3" ht="12.75">
      <c r="A249" s="4"/>
      <c r="B249" s="4"/>
    </row>
    <row r="250" spans="1:3" ht="12.75">
      <c r="A250" s="4">
        <v>92</v>
      </c>
      <c r="B250" s="4" t="str">
        <f>GENERAL!B257</f>
        <v>EVELYN; 07037599088: [Headquarters Member]; [Women of Purpose]</v>
      </c>
      <c r="C250" s="5">
        <f>SUM(GENERAL!I259,GENERAL!M259,GENERAL!Q259,GENERAL!U259)</f>
        <v>0</v>
      </c>
    </row>
    <row r="251" spans="1:3" ht="12.75">
      <c r="A251" s="4"/>
      <c r="B251" s="4"/>
    </row>
    <row r="252" spans="1:3" ht="12.75">
      <c r="A252" s="4"/>
      <c r="B252" s="4"/>
    </row>
    <row r="253" spans="1:3" ht="12.75">
      <c r="A253" s="4">
        <v>93</v>
      </c>
      <c r="B253" s="4" t="str">
        <f>GENERAL!B260</f>
        <v>MUMMY REJOICE; 08117069568: [Headquarters Member]; [Women of Purpose]</v>
      </c>
      <c r="C253" s="5">
        <f>SUM(GENERAL!I262,GENERAL!M262,GENERAL!Q262,GENERAL!U262)</f>
        <v>0</v>
      </c>
    </row>
    <row r="254" spans="1:3" ht="12.75">
      <c r="A254" s="4"/>
      <c r="B254" s="4"/>
    </row>
    <row r="255" spans="1:3" ht="12.75">
      <c r="A255" s="4"/>
      <c r="B255" s="4"/>
    </row>
    <row r="256" spans="1:3" ht="25.5">
      <c r="A256" s="4">
        <v>94</v>
      </c>
      <c r="B256" s="4" t="str">
        <f>GENERAL!B263</f>
        <v>MRS. EDWIN OSARIEMEN; 08097626066: [Headquarters Member]; [Women of Purpose]</v>
      </c>
      <c r="C256" s="5">
        <f>SUM(GENERAL!I265,GENERAL!M265,GENERAL!Q265,GENERAL!U265)</f>
        <v>0</v>
      </c>
    </row>
    <row r="257" spans="1:3" ht="12.75">
      <c r="A257" s="4"/>
      <c r="B257" s="4"/>
    </row>
    <row r="258" spans="1:3" ht="12.75">
      <c r="A258" s="4"/>
      <c r="B258" s="4"/>
    </row>
    <row r="259" spans="1:3" ht="12.75">
      <c r="A259" s="4">
        <v>95</v>
      </c>
      <c r="B259" s="4" t="str">
        <f>GENERAL!B266</f>
        <v>NOSAKHARE GLAMOUR; 07050078657: [Headquarters Member]; [Women of Purpose]</v>
      </c>
      <c r="C259" s="5">
        <f>SUM(GENERAL!I268,GENERAL!M268,GENERAL!Q268,GENERAL!U268)</f>
        <v>0</v>
      </c>
    </row>
    <row r="260" spans="1:3" ht="12.75">
      <c r="A260" s="4"/>
      <c r="B260" s="4"/>
    </row>
    <row r="261" spans="1:3" ht="12.75">
      <c r="A261" s="4"/>
      <c r="B261" s="4"/>
    </row>
    <row r="262" spans="1:3" ht="12.75">
      <c r="A262" s="4">
        <v>96</v>
      </c>
      <c r="B262" s="4" t="str">
        <f>GENERAL!B269</f>
        <v>OKONOFUA TESSY; 08182240652: [Headquarters Member]; [Women of Purpose]</v>
      </c>
      <c r="C262" s="5">
        <f>SUM(GENERAL!I271,GENERAL!M271,GENERAL!Q271,GENERAL!U271)</f>
        <v>0</v>
      </c>
    </row>
    <row r="263" spans="1:3" ht="12.75">
      <c r="A263" s="4"/>
      <c r="B263" s="4"/>
    </row>
    <row r="264" spans="1:3" ht="12.75">
      <c r="A264" s="4"/>
      <c r="B264" s="4"/>
    </row>
    <row r="265" spans="1:3" ht="12.75">
      <c r="A265" s="4">
        <v>97</v>
      </c>
      <c r="B265" s="4" t="str">
        <f>GENERAL!B272</f>
        <v>MRS. QUEEN; 07066134189: [Headquarters Member]; [Women of Purpose]</v>
      </c>
      <c r="C265" s="5">
        <f>SUM(GENERAL!I274,GENERAL!M274,GENERAL!Q274,GENERAL!U274)</f>
        <v>0</v>
      </c>
    </row>
    <row r="266" spans="1:3" ht="12.75">
      <c r="A266" s="4"/>
      <c r="B266" s="4"/>
    </row>
    <row r="267" spans="1:3" ht="12.75">
      <c r="A267" s="4"/>
      <c r="B267" s="4"/>
    </row>
    <row r="268" spans="1:3" ht="12.75">
      <c r="A268" s="4">
        <v>98</v>
      </c>
      <c r="B268" s="4" t="str">
        <f>GENERAL!B275</f>
        <v>LAURETTA ODUWARE; 08060570639: [Headquarters Member]; [Women of Purpose]</v>
      </c>
      <c r="C268" s="5">
        <f>SUM(GENERAL!I277,GENERAL!M277,GENERAL!Q277,GENERAL!U277)</f>
        <v>0</v>
      </c>
    </row>
    <row r="269" spans="1:3" ht="12.75">
      <c r="A269" s="4"/>
      <c r="B269" s="4"/>
    </row>
    <row r="270" spans="1:3" ht="12.75">
      <c r="A270" s="4"/>
      <c r="B270" s="4"/>
    </row>
    <row r="271" spans="1:3" ht="12.75">
      <c r="A271" s="4">
        <v>99</v>
      </c>
      <c r="B271" s="4" t="str">
        <f>GENERAL!B278</f>
        <v>CHOICE OSAZEE; NO PHONE: [Headquarters Member]; [Women of Purpose]</v>
      </c>
      <c r="C271" s="5">
        <f>SUM(GENERAL!I280,GENERAL!M280,GENERAL!Q280,GENERAL!U280)</f>
        <v>0</v>
      </c>
    </row>
    <row r="272" spans="1:3" ht="12.75">
      <c r="A272" s="4"/>
      <c r="B272" s="4"/>
    </row>
    <row r="273" spans="1:3" ht="12.75">
      <c r="A273" s="4"/>
      <c r="B273" s="4"/>
    </row>
    <row r="274" spans="1:3" ht="12.75">
      <c r="A274" s="4">
        <v>100</v>
      </c>
      <c r="B274" s="4" t="str">
        <f>GENERAL!B281</f>
        <v>MRS. GIFT SAMUEL; NO PHONE: [Headquarters Member]; [Women of Purpose]</v>
      </c>
      <c r="C274" s="5">
        <f>SUM(GENERAL!I283,GENERAL!M283,GENERAL!Q283,GENERAL!U283)</f>
        <v>0</v>
      </c>
    </row>
    <row r="275" spans="1:3" ht="12.75">
      <c r="A275" s="4"/>
      <c r="B275" s="4"/>
    </row>
    <row r="276" spans="1:3" ht="12.75">
      <c r="A276" s="4"/>
      <c r="B276" s="4"/>
    </row>
    <row r="277" spans="1:3" ht="12.75">
      <c r="A277" s="4">
        <v>101</v>
      </c>
      <c r="B277" s="4" t="str">
        <f>GENERAL!B284</f>
        <v>MISS PATCH AIGBU; 08028281218: [Headquarters Member]; [Women of Purpose]</v>
      </c>
      <c r="C277" s="5">
        <f>SUM(GENERAL!I286,GENERAL!M286,GENERAL!Q286,GENERAL!U286)</f>
        <v>0</v>
      </c>
    </row>
    <row r="278" spans="1:3" ht="12.75">
      <c r="A278" s="4"/>
      <c r="B278" s="4"/>
    </row>
    <row r="279" spans="1:3" ht="12.75">
      <c r="A279" s="4"/>
      <c r="B279" s="4"/>
    </row>
    <row r="280" spans="1:3" ht="15" customHeight="1">
      <c r="A280" s="4">
        <v>102</v>
      </c>
      <c r="B280" s="4" t="str">
        <f>GENERAL!B287</f>
        <v>MAMA JUNIOR; NO PHONE: [Headquarters Member]; [Women of Purpose]</v>
      </c>
      <c r="C280" s="5">
        <f>SUM(GENERAL!I289,GENERAL!M289,GENERAL!Q289,GENERAL!U289)</f>
        <v>0</v>
      </c>
    </row>
    <row r="281" spans="1:3" ht="12.75">
      <c r="A281" s="4"/>
      <c r="B281" s="4"/>
    </row>
    <row r="282" spans="1:3" ht="12.75">
      <c r="A282" s="4"/>
      <c r="B282" s="4"/>
    </row>
    <row r="283" spans="1:3" ht="12.75">
      <c r="A283" s="4">
        <v>103</v>
      </c>
      <c r="B283" s="4" t="str">
        <f>GENERAL!B290</f>
        <v>JULIE OBASOGIE; 08053373293: [Headquarters Member]; [Women of Purpose]</v>
      </c>
      <c r="C283" s="5">
        <f>SUM(GENERAL!I292,GENERAL!M292,GENERAL!Q292,GENERAL!U292)</f>
        <v>0</v>
      </c>
    </row>
    <row r="284" spans="1:3" ht="12.75">
      <c r="A284" s="4"/>
      <c r="B284" s="4"/>
    </row>
    <row r="285" spans="1:3" ht="12.75">
      <c r="A285" s="4"/>
      <c r="B285" s="4"/>
    </row>
    <row r="286" spans="1:3" ht="12.75">
      <c r="A286" s="4">
        <v>104</v>
      </c>
      <c r="B286" s="4" t="str">
        <f>GENERAL!B293</f>
        <v>IMUANTYAN GRACE; NO PHONE: [Headquarters Member]; [Women of Purpose]</v>
      </c>
      <c r="C286" s="5">
        <f>SUM(GENERAL!I295,GENERAL!M295,GENERAL!Q295,GENERAL!U295)</f>
        <v>0</v>
      </c>
    </row>
    <row r="287" spans="1:3" ht="12.75">
      <c r="A287" s="4"/>
      <c r="B287" s="4"/>
    </row>
    <row r="288" spans="1:3" ht="12.75">
      <c r="A288" s="4"/>
      <c r="B288" s="4"/>
    </row>
    <row r="289" spans="1:3" ht="12.75">
      <c r="A289" s="4">
        <v>105</v>
      </c>
      <c r="B289" s="4" t="str">
        <f>GENERAL!B296</f>
        <v>MRS. ONYROSA; 09035911384: [Headquarters Member]; [Women of Purpose]</v>
      </c>
      <c r="C289" s="5">
        <f>SUM(GENERAL!I298,GENERAL!M298,GENERAL!Q298,GENERAL!U298)</f>
        <v>0</v>
      </c>
    </row>
    <row r="290" spans="1:3" ht="12.75">
      <c r="A290" s="4"/>
      <c r="B290" s="4"/>
    </row>
    <row r="291" spans="1:3" ht="12.75">
      <c r="A291" s="4"/>
      <c r="B291" s="4"/>
    </row>
    <row r="292" spans="1:3" ht="25.5">
      <c r="A292" s="4">
        <v>106</v>
      </c>
      <c r="B292" s="4" t="str">
        <f>GENERAL!B299</f>
        <v>MAMA BLESSING (EVAN); 08112483529: [Headquarters Member]; [Women of Purpose]</v>
      </c>
      <c r="C292" s="5">
        <f>SUM(GENERAL!I301,GENERAL!M301,GENERAL!Q301,GENERAL!U301)</f>
        <v>0</v>
      </c>
    </row>
    <row r="293" spans="1:3" ht="12.75">
      <c r="A293" s="4"/>
      <c r="B293" s="4"/>
    </row>
    <row r="294" spans="1:3" ht="12.75">
      <c r="A294" s="4"/>
      <c r="B294" s="4"/>
    </row>
    <row r="295" spans="1:3" ht="12.75">
      <c r="A295" s="4">
        <v>107</v>
      </c>
      <c r="B295" s="4" t="str">
        <f>GENERAL!B302</f>
        <v>MUMMY DOMINION; 08109550932: [Headquarters Member]; [Women of Purpose]</v>
      </c>
      <c r="C295" s="5">
        <f>SUM(GENERAL!I304,GENERAL!M304,GENERAL!Q304,GENERAL!U304)</f>
        <v>0</v>
      </c>
    </row>
    <row r="296" spans="1:3" ht="12.75">
      <c r="A296" s="4"/>
      <c r="B296" s="4"/>
    </row>
    <row r="297" spans="1:3" ht="12.75">
      <c r="A297" s="4"/>
      <c r="B297" s="4"/>
    </row>
    <row r="298" spans="1:3" ht="12.75">
      <c r="A298" s="4">
        <v>108</v>
      </c>
      <c r="B298" s="4" t="str">
        <f>GENERAL!B305</f>
        <v>MUMMY WEALT; NO PHONE: [Headquarters Member]; [Women of Purpose]</v>
      </c>
      <c r="C298" s="5">
        <f>SUM(GENERAL!I307,GENERAL!M307,GENERAL!Q307,GENERAL!U307)</f>
        <v>0</v>
      </c>
    </row>
    <row r="299" spans="1:3" ht="12.75">
      <c r="A299" s="4"/>
      <c r="B299" s="4"/>
    </row>
    <row r="300" spans="1:3" ht="12.75">
      <c r="A300" s="4"/>
      <c r="B300" s="4"/>
    </row>
    <row r="301" spans="1:3" ht="12.75">
      <c r="A301" s="4">
        <v>109</v>
      </c>
      <c r="B301" s="4" t="str">
        <f>GENERAL!B308</f>
        <v>MUMMY DESTINY; 07054887647: [Headquarters Member]; [Women of Purpose]</v>
      </c>
      <c r="C301" s="5">
        <f>SUM(GENERAL!I310,GENERAL!M310,GENERAL!Q310,GENERAL!U310)</f>
        <v>0</v>
      </c>
    </row>
    <row r="302" spans="1:3" ht="12.75">
      <c r="A302" s="4"/>
      <c r="B302" s="4"/>
    </row>
    <row r="303" spans="1:3" ht="12.75">
      <c r="A303" s="4"/>
      <c r="B303" s="4"/>
    </row>
    <row r="304" spans="1:3" ht="12.75">
      <c r="A304" s="4">
        <v>110</v>
      </c>
      <c r="B304" s="4" t="str">
        <f>GENERAL!B311</f>
        <v>MUMMY DIVINE; 07082621827: [Headquarters Member]; [Women of Purpose]</v>
      </c>
      <c r="C304" s="5">
        <f>SUM(GENERAL!I313,GENERAL!M313,GENERAL!Q313,GENERAL!U313)</f>
        <v>0</v>
      </c>
    </row>
    <row r="305" spans="1:3" ht="12.75">
      <c r="A305" s="4"/>
      <c r="B305" s="4"/>
    </row>
    <row r="306" spans="1:3" ht="12.75">
      <c r="A306" s="4"/>
      <c r="B306" s="4"/>
    </row>
    <row r="307" spans="1:3" ht="12.75">
      <c r="A307" s="4">
        <v>111</v>
      </c>
      <c r="B307" s="4" t="str">
        <f>GENERAL!B314</f>
        <v>MAMA NKECHI; NO PHONE: [Headquarters Member]; [Women of Purpose]</v>
      </c>
      <c r="C307" s="5">
        <f>SUM(GENERAL!I316,GENERAL!M316,GENERAL!Q316,GENERAL!U316)</f>
        <v>0</v>
      </c>
    </row>
    <row r="308" spans="1:3" ht="12.75">
      <c r="A308" s="4"/>
      <c r="B308" s="4"/>
    </row>
    <row r="309" spans="1:3" ht="12.75">
      <c r="A309" s="4"/>
      <c r="B309" s="4"/>
    </row>
    <row r="310" spans="1:3" ht="12.75">
      <c r="A310" s="4">
        <v>112</v>
      </c>
      <c r="B310" s="4" t="str">
        <f>GENERAL!B317</f>
        <v>NEW SIST DIVINE; 09136802997: [Headquarters Member]; [Women of Purpose]</v>
      </c>
      <c r="C310" s="5">
        <f>SUM(GENERAL!I319,GENERAL!M319,GENERAL!Q319,GENERAL!U319)</f>
        <v>0</v>
      </c>
    </row>
    <row r="311" spans="1:3" ht="12.75">
      <c r="A311" s="4"/>
      <c r="B311" s="4"/>
    </row>
    <row r="312" spans="1:3" ht="12.75">
      <c r="A312" s="4"/>
      <c r="B312" s="4"/>
    </row>
    <row r="313" spans="1:3" ht="12.75">
      <c r="A313" s="4">
        <v>113</v>
      </c>
      <c r="B313" s="4" t="str">
        <f>GENERAL!B320</f>
        <v>NOSA-FAITH; NO PHONE: [Headquarters Member]; [Women of Purpose]</v>
      </c>
      <c r="C313" s="5">
        <f>SUM(GENERAL!I322,GENERAL!M322,GENERAL!Q322,GENERAL!U322)</f>
        <v>0</v>
      </c>
    </row>
    <row r="314" spans="1:3" ht="12.75">
      <c r="A314" s="4"/>
      <c r="B314" s="4"/>
    </row>
    <row r="315" spans="1:3" ht="12.75">
      <c r="A315" s="4"/>
      <c r="B315" s="4"/>
    </row>
    <row r="316" spans="1:3" ht="12.75">
      <c r="A316" s="4">
        <v>114</v>
      </c>
      <c r="B316" s="4" t="str">
        <f>GENERAL!B323</f>
        <v>PAPA’S WIFE; 08111009539: [Headquarters Member]; [Women of Purpose]</v>
      </c>
      <c r="C316" s="5">
        <f>SUM(GENERAL!I325,GENERAL!M325,GENERAL!Q325,GENERAL!U325)</f>
        <v>0</v>
      </c>
    </row>
    <row r="317" spans="1:3" ht="12.75">
      <c r="A317" s="4"/>
      <c r="B317" s="4"/>
    </row>
    <row r="318" spans="1:3" ht="12.75">
      <c r="A318" s="4"/>
      <c r="B318" s="4"/>
    </row>
    <row r="319" spans="1:3" ht="12.75">
      <c r="A319" s="4">
        <v>115</v>
      </c>
      <c r="B319" s="4" t="str">
        <f>GENERAL!B326</f>
        <v>SIS PROMISE VICTOR; 08167962900: [Headquarters Member]; [Women of Purpose]</v>
      </c>
      <c r="C319" s="5">
        <f>SUM(GENERAL!I328,GENERAL!M328,GENERAL!Q328,GENERAL!U328)</f>
        <v>0</v>
      </c>
    </row>
    <row r="320" spans="1:3" ht="12.75">
      <c r="A320" s="4"/>
      <c r="B320" s="4"/>
    </row>
    <row r="321" spans="1:3" ht="12.75">
      <c r="A321" s="4"/>
      <c r="B321" s="4"/>
    </row>
    <row r="322" spans="1:3" ht="25.5">
      <c r="A322" s="4">
        <v>116</v>
      </c>
      <c r="B322" s="4" t="str">
        <f>GENERAL!B329</f>
        <v>SIS JOY SAMUEL; 08126991212: [Headquarters Member]; [Youth of Power, Glory and Women of Purpose]</v>
      </c>
      <c r="C322" s="5">
        <f>SUM(GENERAL!I331,GENERAL!M331,GENERAL!Q331,GENERAL!U331)</f>
        <v>0</v>
      </c>
    </row>
    <row r="323" spans="1:3" ht="12.75">
      <c r="A323" s="4"/>
      <c r="B323" s="4"/>
    </row>
    <row r="324" spans="1:3" ht="12.75">
      <c r="A324" s="4"/>
      <c r="B324" s="4"/>
    </row>
    <row r="325" spans="1:3" ht="12.75">
      <c r="A325" s="4">
        <v>117</v>
      </c>
      <c r="B325" s="4" t="str">
        <f>GENERAL!B332</f>
        <v>KELVIN; 09150261680: [Headquarters Member]; [Youth of Power and Glory]</v>
      </c>
      <c r="C325" s="5">
        <f>SUM(GENERAL!I334,GENERAL!M334,GENERAL!Q334,GENERAL!U334)</f>
        <v>0</v>
      </c>
    </row>
    <row r="326" spans="1:3" ht="12.75">
      <c r="A326" s="4"/>
      <c r="B326" s="4"/>
    </row>
    <row r="327" spans="1:3" ht="12.75">
      <c r="A327" s="4"/>
      <c r="B327" s="4"/>
    </row>
    <row r="328" spans="1:3" ht="16.5" customHeight="1">
      <c r="A328" s="4">
        <v>118</v>
      </c>
      <c r="B328" s="4" t="str">
        <f>GENERAL!B335</f>
        <v>ESEGHENE; 07046644110: [Headquarters Member]; [Youth of Power and Glory]</v>
      </c>
      <c r="C328" s="5">
        <f>SUM(GENERAL!I337,GENERAL!M337,GENERAL!Q337,GENERAL!U337)</f>
        <v>0</v>
      </c>
    </row>
    <row r="329" spans="1:3" ht="12.75">
      <c r="A329" s="4"/>
      <c r="B329" s="4"/>
    </row>
    <row r="330" spans="1:3" ht="12.75">
      <c r="A330" s="4"/>
      <c r="B330" s="4"/>
    </row>
    <row r="331" spans="1:3" ht="12.75">
      <c r="A331" s="4">
        <v>120</v>
      </c>
      <c r="B331" s="4" t="str">
        <f>GENERAL!B371</f>
        <v>BEST; 07065313405: [Headquarters Member]; [Youth of Power and Glory]</v>
      </c>
      <c r="C331" s="5">
        <f>SUM(GENERAL!I340,GENERAL!M340,GENERAL!Q340,GENERAL!U340)</f>
        <v>0</v>
      </c>
    </row>
    <row r="332" spans="1:3" ht="12.75">
      <c r="A332" s="4"/>
      <c r="B332" s="4"/>
    </row>
    <row r="333" spans="1:3" ht="12.75">
      <c r="A333" s="4"/>
      <c r="B333" s="4"/>
    </row>
    <row r="334" spans="1:3" ht="25.5">
      <c r="A334" s="4">
        <v>122</v>
      </c>
      <c r="B334" s="4" t="str">
        <f>GENERAL!B377</f>
        <v>EFEAWARHRE BLESSING; 07049564684: [Headquarters Member]; [Youth of Power and Glory]</v>
      </c>
      <c r="C334" s="5">
        <f>SUM(GENERAL!I343,GENERAL!M343,GENERAL!Q343,GENERAL!U343)</f>
        <v>0</v>
      </c>
    </row>
    <row r="335" spans="1:3" ht="12.75">
      <c r="A335" s="4"/>
      <c r="B335" s="4"/>
    </row>
    <row r="336" spans="1:3" ht="12.75">
      <c r="A336" s="4"/>
      <c r="B336" s="4"/>
    </row>
    <row r="337" spans="1:3" ht="25.5">
      <c r="A337" s="4">
        <v>123</v>
      </c>
      <c r="B337" s="4" t="str">
        <f>GENERAL!B380</f>
        <v>AMEREKA GODSPOWER; 09011402472: [Headquarters Member]; [Youth of Power and Glory]</v>
      </c>
      <c r="C337" s="5">
        <f>SUM(GENERAL!I346,GENERAL!M346,GENERAL!Q346,GENERAL!U346)</f>
        <v>0</v>
      </c>
    </row>
    <row r="338" spans="1:3" ht="16.5" customHeight="1">
      <c r="A338" s="4"/>
      <c r="B338" s="4"/>
    </row>
    <row r="339" spans="1:3" ht="12.75">
      <c r="A339" s="4"/>
      <c r="B339" s="4"/>
    </row>
    <row r="340" spans="1:3" ht="25.5">
      <c r="A340" s="4">
        <v>124</v>
      </c>
      <c r="B340" s="4" t="str">
        <f>GENERAL!B383</f>
        <v>ERHARUYI OSAGIE; 08022564429: [Headquarters Member]; [Youth of Power and Glory]</v>
      </c>
      <c r="C340" s="5">
        <f>SUM(GENERAL!I349,GENERAL!M349,GENERAL!Q349,GENERAL!U349)</f>
        <v>0</v>
      </c>
    </row>
    <row r="341" spans="1:3" ht="12.75">
      <c r="A341" s="4"/>
      <c r="B341" s="4"/>
    </row>
    <row r="342" spans="1:3" ht="12.75">
      <c r="A342" s="4"/>
      <c r="B342" s="4"/>
    </row>
    <row r="343" spans="1:3" ht="12.75">
      <c r="A343" s="4">
        <v>125</v>
      </c>
      <c r="B343" s="4" t="str">
        <f>GENERAL!B386</f>
        <v>JIMOH BRIGHT; 08052155988: [Headquarters Member]; [Youth of Power and Glory]</v>
      </c>
      <c r="C343" s="5">
        <f>SUM(GENERAL!I352,GENERAL!M352,GENERAL!Q352,GENERAL!U352)</f>
        <v>0</v>
      </c>
    </row>
    <row r="344" spans="1:3" ht="12.75">
      <c r="A344" s="4"/>
      <c r="B344" s="4"/>
    </row>
    <row r="345" spans="1:3" ht="12.75">
      <c r="A345" s="4"/>
      <c r="B345" s="4"/>
    </row>
    <row r="346" spans="1:3" ht="12.75">
      <c r="A346" s="4">
        <v>126</v>
      </c>
      <c r="B346" s="4" t="str">
        <f>GENERAL!B389</f>
        <v>NAME; PHONE: [Headquarters Member]; [Youth of Power and Glory]</v>
      </c>
      <c r="C346" s="5">
        <f>SUM(GENERAL!I355,GENERAL!M355,GENERAL!Q355,GENERAL!U355)</f>
        <v>0</v>
      </c>
    </row>
    <row r="347" spans="1:3" ht="12.75">
      <c r="A347" s="4"/>
      <c r="B347" s="4"/>
    </row>
    <row r="348" spans="1:3" ht="12.75">
      <c r="A348" s="4"/>
      <c r="B348" s="4"/>
    </row>
    <row r="349" spans="1:3" ht="12.75">
      <c r="A349" s="4">
        <v>127</v>
      </c>
      <c r="B349" s="4" t="str">
        <f>GENERAL!B392</f>
        <v>INEGBE VERA; 09114634367: [Headquarters Member]; [Youth of Power and Glory]</v>
      </c>
      <c r="C349" s="5">
        <f>SUM(GENERAL!I358,GENERAL!M358,GENERAL!Q358,GENERAL!U358)</f>
        <v>0</v>
      </c>
    </row>
    <row r="350" spans="1:3" ht="12.75">
      <c r="A350" s="4"/>
      <c r="B350" s="4"/>
    </row>
    <row r="351" spans="1:3" ht="12.75">
      <c r="A351" s="4"/>
      <c r="B351" s="4"/>
    </row>
    <row r="352" spans="1:3" ht="12.75">
      <c r="A352" s="4">
        <v>128</v>
      </c>
      <c r="B352" s="4" t="str">
        <f>GENERAL!B395</f>
        <v>ATANE COURAGE; 09052268276: [Headquarters Member]; [Youth of Power and Glory]</v>
      </c>
      <c r="C352" s="5">
        <f>SUM(GENERAL!I361,GENERAL!M361,GENERAL!Q361,GENERAL!U361)</f>
        <v>0</v>
      </c>
    </row>
    <row r="353" spans="1:3" ht="12.75">
      <c r="A353" s="4"/>
      <c r="B353" s="4"/>
    </row>
    <row r="354" spans="1:3" ht="12.75">
      <c r="A354" s="4"/>
      <c r="B354" s="4"/>
    </row>
    <row r="355" spans="1:3" ht="12.75">
      <c r="A355" s="4">
        <v>129</v>
      </c>
      <c r="B355" s="4" t="str">
        <f>GENERAL!B398</f>
        <v>ATANE JOY; 09165656493: [Headquarters Member]; [Youth of Power and Glory]</v>
      </c>
      <c r="C355" s="5">
        <f>SUM(GENERAL!I364,GENERAL!M364,GENERAL!Q364,GENERAL!U364)</f>
        <v>0</v>
      </c>
    </row>
    <row r="356" spans="1:3" ht="12.75">
      <c r="A356" s="4"/>
      <c r="B356" s="4"/>
    </row>
    <row r="357" spans="1:3" ht="12.75">
      <c r="A357" s="4"/>
      <c r="B357" s="4"/>
    </row>
    <row r="358" spans="1:3" ht="25.5">
      <c r="A358" s="4">
        <v>130</v>
      </c>
      <c r="B358" s="4" t="str">
        <f>GENERAL!B401</f>
        <v>IDAHOTA PRECIOUS; 08144836505: [Headquarters Member]; [Youth of Power and Glory]</v>
      </c>
      <c r="C358" s="5">
        <f>SUM(GENERAL!I367,GENERAL!M367,GENERAL!Q367,GENERAL!U367)</f>
        <v>0</v>
      </c>
    </row>
    <row r="359" spans="1:3" ht="12.75">
      <c r="A359" s="4"/>
      <c r="B359" s="4"/>
    </row>
    <row r="360" spans="1:3" ht="12.75">
      <c r="A360" s="4"/>
      <c r="B360" s="4"/>
    </row>
    <row r="361" spans="1:3" ht="12.75">
      <c r="A361" s="4">
        <v>131</v>
      </c>
      <c r="B361" s="4" t="str">
        <f>GENERAL!B404</f>
        <v>TRUST; 08117028203: [Headquarters Member]; [Youth of Power and Glory]</v>
      </c>
      <c r="C361" s="5">
        <f>SUM(GENERAL!I370,GENERAL!M370,GENERAL!Q370,GENERAL!U370)</f>
        <v>0</v>
      </c>
    </row>
    <row r="362" spans="1:3" ht="12.75">
      <c r="A362" s="4"/>
      <c r="B362" s="4"/>
    </row>
    <row r="363" spans="1:3" ht="12.75">
      <c r="A363" s="4"/>
      <c r="B363" s="4"/>
    </row>
    <row r="364" spans="1:3" ht="12.75">
      <c r="A364" s="4">
        <v>132</v>
      </c>
      <c r="B364" s="4" t="str">
        <f>GENERAL!B407</f>
        <v>FAVOUR; 09156464691: [Headquarters Member]; [Youth of Power and Glory]</v>
      </c>
      <c r="C364" s="5">
        <f>SUM(GENERAL!I373,GENERAL!M373,GENERAL!Q373,GENERAL!U373)</f>
        <v>0</v>
      </c>
    </row>
    <row r="365" spans="1:3" ht="15" customHeight="1">
      <c r="A365" s="4"/>
      <c r="B365" s="4"/>
    </row>
    <row r="366" spans="1:3" ht="15" customHeight="1">
      <c r="A366" s="4"/>
      <c r="B366" s="4"/>
    </row>
    <row r="367" spans="1:3" ht="12.75">
      <c r="A367" s="4">
        <v>133</v>
      </c>
      <c r="B367" s="4" t="str">
        <f>GENERAL!B410</f>
        <v>CHARITY; 07018882497: [Headquarters Member]; [Youth of Power and Glory]</v>
      </c>
      <c r="C367" s="5">
        <f>SUM(GENERAL!I376,GENERAL!M376,GENERAL!Q376,GENERAL!U376)</f>
        <v>0</v>
      </c>
    </row>
    <row r="368" spans="1:3" ht="12.75">
      <c r="A368" s="4"/>
      <c r="B368" s="4"/>
    </row>
    <row r="369" spans="1:3" ht="12.75">
      <c r="A369" s="4"/>
      <c r="B369" s="4"/>
    </row>
    <row r="370" spans="1:3" ht="12.75">
      <c r="A370" s="4">
        <v>134</v>
      </c>
      <c r="B370" s="4" t="str">
        <f>GENERAL!B413</f>
        <v>MICHEAL; 09163092391: [Headquarters Member]; [Youth of Power and Glory]</v>
      </c>
      <c r="C370" s="5">
        <f>SUM(GENERAL!I379,GENERAL!M379,GENERAL!Q379,GENERAL!U379)</f>
        <v>0</v>
      </c>
    </row>
    <row r="371" spans="1:3" ht="12.75">
      <c r="A371" s="4"/>
      <c r="B371" s="4"/>
    </row>
    <row r="372" spans="1:3" ht="12.75">
      <c r="A372" s="4"/>
      <c r="B372" s="4"/>
    </row>
    <row r="373" spans="1:3" ht="12.75">
      <c r="A373" s="4">
        <v>135</v>
      </c>
      <c r="B373" s="4" t="str">
        <f>GENERAL!B416</f>
        <v>DESTINY (D.V); 07026612509: [Headquarters Member]; [Youth of Power and Glory]</v>
      </c>
      <c r="C373" s="5">
        <f>SUM(GENERAL!I382,GENERAL!M382,GENERAL!Q382,GENERAL!U382)</f>
        <v>0</v>
      </c>
    </row>
    <row r="374" spans="1:3" ht="12.75">
      <c r="A374" s="4"/>
      <c r="B374" s="4"/>
    </row>
    <row r="375" spans="1:3" ht="12.75">
      <c r="A375" s="4"/>
      <c r="B375" s="4"/>
    </row>
    <row r="376" spans="1:3" ht="12.75">
      <c r="A376" s="4">
        <v>136</v>
      </c>
      <c r="B376" s="4" t="str">
        <f>GENERAL!B419</f>
        <v>PROMISE; 08136200278: [Headquarters Member]; [Youth of Power and Glory]</v>
      </c>
      <c r="C376" s="5">
        <f>SUM(GENERAL!I385,GENERAL!M385,GENERAL!Q385,GENERAL!U385)</f>
        <v>0</v>
      </c>
    </row>
    <row r="377" spans="1:3" ht="12.75">
      <c r="A377" s="4"/>
      <c r="B377" s="4"/>
    </row>
    <row r="378" spans="1:3" ht="12.75">
      <c r="A378" s="4"/>
      <c r="B378" s="4"/>
    </row>
    <row r="379" spans="1:3" ht="12.75">
      <c r="A379" s="4">
        <v>137</v>
      </c>
      <c r="B379" s="4" t="str">
        <f>GENERAL!B422</f>
        <v>GIFT; 09049602484: [Headquarters Member]; [Youth of Power and Glory]</v>
      </c>
      <c r="C379" s="5">
        <f>SUM(GENERAL!I388,GENERAL!M388,GENERAL!Q388,GENERAL!U388)</f>
        <v>0</v>
      </c>
    </row>
    <row r="380" spans="1:3" ht="12.75">
      <c r="A380" s="4"/>
      <c r="B380" s="4"/>
    </row>
    <row r="381" spans="1:3" ht="12.75">
      <c r="A381" s="4"/>
      <c r="B381" s="4"/>
    </row>
    <row r="382" spans="1:3" ht="12.75">
      <c r="A382" s="4">
        <v>138</v>
      </c>
      <c r="B382" s="4" t="str">
        <f>GENERAL!B425</f>
        <v>GODBLESS; 08109258878: [Headquarters Member]; [Youth of Power and Glory]</v>
      </c>
      <c r="C382" s="5">
        <f>SUM(GENERAL!I391,GENERAL!M391,GENERAL!Q391,GENERAL!U391)</f>
        <v>0</v>
      </c>
    </row>
    <row r="383" spans="1:3" ht="12.75">
      <c r="A383" s="4"/>
      <c r="B383" s="4"/>
    </row>
    <row r="384" spans="1:3" ht="12.75">
      <c r="A384" s="4"/>
      <c r="B384" s="4"/>
    </row>
    <row r="385" spans="1:3" ht="12.75">
      <c r="A385" s="4">
        <v>139</v>
      </c>
      <c r="B385" s="4" t="str">
        <f>GENERAL!B428</f>
        <v>BLESSED; 09159832300: [Headquarters Member]; [Youth of Power and Glory]</v>
      </c>
      <c r="C385" s="5">
        <f>SUM(GENERAL!I394,GENERAL!M394,GENERAL!Q394,GENERAL!U394)</f>
        <v>0</v>
      </c>
    </row>
    <row r="386" spans="1:3" ht="12.75">
      <c r="A386" s="4"/>
      <c r="B386" s="4"/>
    </row>
    <row r="387" spans="1:3" ht="12.75">
      <c r="A387" s="4"/>
      <c r="B387" s="4"/>
    </row>
    <row r="388" spans="1:3" ht="12.75">
      <c r="A388" s="4">
        <v>140</v>
      </c>
      <c r="B388" s="4" t="str">
        <f>GENERAL!B431</f>
        <v>HOPE; 09160585796: [Headquarters Member]; [Youth of Power and Glory]</v>
      </c>
      <c r="C388" s="5">
        <f>SUM(GENERAL!I397,GENERAL!M397,GENERAL!Q397,GENERAL!U397)</f>
        <v>0</v>
      </c>
    </row>
    <row r="389" spans="1:3" ht="12.75">
      <c r="A389" s="4"/>
      <c r="B389" s="4"/>
    </row>
    <row r="390" spans="1:3" ht="12.75">
      <c r="A390" s="4"/>
      <c r="B390" s="4"/>
    </row>
    <row r="391" spans="1:3" ht="12.75">
      <c r="A391" s="4">
        <v>141</v>
      </c>
      <c r="B391" s="4" t="str">
        <f>GENERAL!B434</f>
        <v>PRECIOUS EVANS; 07063057221: [Headquarters Member]; [Youth of Power and Glory]</v>
      </c>
      <c r="C391" s="5">
        <f>SUM(GENERAL!I400,GENERAL!M400,GENERAL!Q400,GENERAL!U400)</f>
        <v>0</v>
      </c>
    </row>
    <row r="392" spans="1:3" ht="12.75">
      <c r="A392" s="4"/>
      <c r="B392" s="4"/>
    </row>
    <row r="393" spans="1:3" ht="12.75">
      <c r="A393" s="4"/>
      <c r="B393" s="4"/>
    </row>
    <row r="394" spans="1:3" ht="12.75">
      <c r="A394" s="4">
        <v>142</v>
      </c>
      <c r="B394" s="4" t="str">
        <f>GENERAL!B437</f>
        <v>IGWE DANIEL; 09069367219: [Headquarters Member]; [Youth of Power and Glory]</v>
      </c>
      <c r="C394" s="5">
        <f>SUM(GENERAL!I403,GENERAL!M403,GENERAL!Q403,GENERAL!U403)</f>
        <v>0</v>
      </c>
    </row>
    <row r="395" spans="1:3" ht="12.75">
      <c r="A395" s="4"/>
      <c r="B395" s="4"/>
    </row>
    <row r="396" spans="1:3" ht="12.75">
      <c r="A396" s="4"/>
      <c r="B396" s="4"/>
    </row>
    <row r="397" spans="1:3" ht="25.5">
      <c r="A397" s="4">
        <v>143</v>
      </c>
      <c r="B397" s="4" t="str">
        <f>GENERAL!B440</f>
        <v>NOSAKHARE GLAMOUR; 09050078657: [Headquarters Member]; [Youth of Power and Glory]</v>
      </c>
      <c r="C397" s="5">
        <f>SUM(GENERAL!I406,GENERAL!M406,GENERAL!Q406,GENERAL!U406)</f>
        <v>0</v>
      </c>
    </row>
    <row r="398" spans="1:3" ht="12.75">
      <c r="A398" s="4"/>
      <c r="B398" s="4"/>
    </row>
    <row r="399" spans="1:3" ht="12.75">
      <c r="A399" s="4"/>
      <c r="B399" s="4"/>
    </row>
    <row r="400" spans="1:3" ht="12.75">
      <c r="A400" s="4">
        <v>144</v>
      </c>
      <c r="B400" s="4" t="str">
        <f>GENERAL!B443</f>
        <v>UKUW T. VICTORY; 09112957011: [Headquarters Member]; [Youth of Power and Glory]</v>
      </c>
      <c r="C400" s="5">
        <f>SUM(GENERAL!I409,GENERAL!M409,GENERAL!Q409,GENERAL!U409)</f>
        <v>0</v>
      </c>
    </row>
    <row r="401" spans="1:3" ht="15" customHeight="1">
      <c r="A401" s="4"/>
      <c r="B401" s="4"/>
    </row>
    <row r="402" spans="1:3" ht="15" customHeight="1">
      <c r="A402" s="4"/>
      <c r="B402" s="4"/>
    </row>
    <row r="403" spans="1:3" ht="15" customHeight="1">
      <c r="A403" s="4">
        <v>145</v>
      </c>
      <c r="B403" s="4" t="str">
        <f>GENERAL!B449</f>
        <v>INEGBEDION EHIS; 09039548529: [Headquarters Member]; [Youth of Power and Glory]</v>
      </c>
      <c r="C403" s="5">
        <f>SUM(GENERAL!I412,GENERAL!M412,GENERAL!Q412,GENERAL!U412)</f>
        <v>0</v>
      </c>
    </row>
    <row r="404" spans="1:3" ht="12.75">
      <c r="A404" s="4"/>
      <c r="B404" s="4"/>
    </row>
    <row r="405" spans="1:3" ht="12.75">
      <c r="A405" s="4"/>
      <c r="B405" s="4"/>
    </row>
    <row r="406" spans="1:3" ht="12.75">
      <c r="A406" s="4">
        <v>146</v>
      </c>
      <c r="B406" s="4" t="str">
        <f>GENERAL!B452</f>
        <v>NOSA SPLENDOR ; 07031567546: [Headquarters Member]; [Youth of Power and Glory]</v>
      </c>
      <c r="C406" s="5">
        <f>SUM(GENERAL!I415,GENERAL!M415,GENERAL!Q415,GENERAL!U415)</f>
        <v>0</v>
      </c>
    </row>
    <row r="407" spans="1:3" ht="12.75">
      <c r="A407" s="4"/>
      <c r="B407" s="4"/>
    </row>
    <row r="408" spans="1:3" ht="12.75">
      <c r="A408" s="4"/>
      <c r="B408" s="4"/>
    </row>
    <row r="409" spans="1:3" ht="25.5">
      <c r="A409" s="4">
        <v>147</v>
      </c>
      <c r="B409" s="4" t="str">
        <f>GENERAL!B455</f>
        <v>MARVELLOUS BRIGHT; 09011816906: [Headquarters Member]; [Youth of Power and Glory]</v>
      </c>
      <c r="C409" s="5">
        <f>SUM(GENERAL!I418,GENERAL!M418,GENERAL!Q418,GENERAL!U418)</f>
        <v>0</v>
      </c>
    </row>
    <row r="410" spans="1:3" ht="12.75">
      <c r="A410" s="4"/>
      <c r="B410" s="4"/>
    </row>
    <row r="411" spans="1:3" ht="12.75">
      <c r="A411" s="4"/>
      <c r="B411" s="4"/>
    </row>
    <row r="412" spans="1:3" ht="12.75">
      <c r="A412" s="4">
        <v>148</v>
      </c>
      <c r="B412" s="4" t="str">
        <f>GENERAL!B458</f>
        <v>PROSPER; 09132772715: [Headquarters Member]; [Youth of Power and Glory]</v>
      </c>
      <c r="C412" s="5">
        <f>SUM(GENERAL!I421,GENERAL!M421,GENERAL!Q421,GENERAL!U421)</f>
        <v>0</v>
      </c>
    </row>
    <row r="413" spans="1:3" ht="12.75">
      <c r="A413" s="4"/>
      <c r="B413" s="4"/>
    </row>
    <row r="414" spans="1:3" ht="12.75">
      <c r="A414" s="4"/>
      <c r="B414" s="4"/>
    </row>
    <row r="415" spans="1:3" ht="25.5">
      <c r="A415" s="4">
        <v>149</v>
      </c>
      <c r="B415" s="4" t="str">
        <f>GENERAL!B461</f>
        <v>DIGBEDION ATESO; 09069000699: [Headquarters Member]; [Youth of Power and Glory]</v>
      </c>
      <c r="C415" s="5">
        <f>SUM(GENERAL!I424,GENERAL!M424,GENERAL!Q424,GENERAL!U424)</f>
        <v>0</v>
      </c>
    </row>
    <row r="416" spans="1:3" ht="12.75">
      <c r="A416" s="4"/>
      <c r="B416" s="4"/>
    </row>
    <row r="417" spans="1:3" ht="12.75">
      <c r="A417" s="4"/>
      <c r="B417" s="4"/>
    </row>
    <row r="418" spans="1:3" ht="12.75">
      <c r="A418" s="4">
        <v>150</v>
      </c>
      <c r="B418" s="4" t="str">
        <f>GENERAL!B464</f>
        <v>JIMOH LUCKY; 08060597582: [Headquarters Member]; [Youth of Power and Glory]</v>
      </c>
      <c r="C418" s="5">
        <f>SUM(GENERAL!I427,GENERAL!M427,GENERAL!Q427,GENERAL!U427)</f>
        <v>0</v>
      </c>
    </row>
    <row r="419" spans="1:3" ht="12.75">
      <c r="A419" s="4"/>
      <c r="B419" s="4"/>
    </row>
    <row r="420" spans="1:3" ht="12.75">
      <c r="A420" s="4"/>
      <c r="B420" s="4"/>
    </row>
    <row r="421" spans="1:3" ht="25.5">
      <c r="A421" s="4">
        <v>151</v>
      </c>
      <c r="B421" s="4" t="str">
        <f>GENERAL!B467</f>
        <v>EDUGAELO VICTOR; 08105070675: [Headquarters Member]; [Youth of Power and Glory]</v>
      </c>
      <c r="C421" s="5">
        <f>SUM(GENERAL!I430,GENERAL!M430,GENERAL!Q430,GENERAL!U430)</f>
        <v>0</v>
      </c>
    </row>
    <row r="422" spans="1:3" ht="12.75">
      <c r="A422" s="4"/>
      <c r="B422" s="4"/>
    </row>
    <row r="423" spans="1:3" ht="12.75">
      <c r="A423" s="4"/>
      <c r="B423" s="4"/>
    </row>
    <row r="424" spans="1:3" ht="12.75">
      <c r="A424" s="4">
        <v>152</v>
      </c>
      <c r="B424" s="4" t="str">
        <f>GENERAL!B470</f>
        <v>NOSAKHARE BLESSING; 09050078657: [Headquarters Choir]; [Address]</v>
      </c>
      <c r="C424" s="5">
        <f>SUM(GENERAL!I433,GENERAL!M433,GENERAL!Q433,GENERAL!U433)</f>
        <v>0</v>
      </c>
    </row>
    <row r="425" spans="1:3" ht="12.75">
      <c r="A425" s="4"/>
      <c r="B425" s="4"/>
    </row>
    <row r="426" spans="1:3" ht="12.75">
      <c r="A426" s="4"/>
      <c r="B426" s="4"/>
    </row>
    <row r="427" spans="1:3" ht="12.75">
      <c r="A427" s="4">
        <v>153</v>
      </c>
      <c r="B427" s="4" t="str">
        <f>GENERAL!B473</f>
        <v>OBAHOR BLESSING 09020677657: [Headquarters Choir]; [Address]</v>
      </c>
      <c r="C427" s="5">
        <f>SUM(GENERAL!I436,GENERAL!M436,GENERAL!Q436,GENERAL!U436)</f>
        <v>0</v>
      </c>
    </row>
    <row r="428" spans="1:3" ht="12.75">
      <c r="A428" s="4"/>
      <c r="B428" s="4"/>
    </row>
    <row r="429" spans="1:3" ht="12.75">
      <c r="A429" s="4"/>
      <c r="B429" s="4"/>
    </row>
    <row r="430" spans="1:3" ht="25.5">
      <c r="A430" s="4">
        <v>154</v>
      </c>
      <c r="B430" s="4" t="str">
        <f>GENERAL!B476</f>
        <v>BRO BEST;  07065313405: [Headquarters Usher ]; [AFTER CORNER STONE CHURCH AMAGBA, BENIN CITY]</v>
      </c>
      <c r="C430" s="5">
        <f>SUM(GENERAL!I439,GENERAL!M439,GENERAL!Q439,GENERAL!U439)</f>
        <v>0</v>
      </c>
    </row>
    <row r="431" spans="1:3" ht="12.75">
      <c r="A431" s="4"/>
      <c r="B431" s="4"/>
    </row>
    <row r="432" spans="1:3" ht="12.75">
      <c r="A432" s="4"/>
      <c r="B432" s="4"/>
    </row>
    <row r="433" spans="1:3" ht="25.5">
      <c r="A433" s="4">
        <v>155</v>
      </c>
      <c r="B433" s="4" t="str">
        <f>GENERAL!B479</f>
        <v>BRO MORRIS; 0903 350 1577: [Headquarters Usher]; [EVBIOBOGUN SAPELE ROAD, BENIN CITY]</v>
      </c>
      <c r="C433" s="5">
        <f>SUM(GENERAL!I442,GENERAL!M442,GENERAL!Q442,GENERAL!U442)</f>
        <v>0</v>
      </c>
    </row>
    <row r="434" spans="1:3" ht="12.75">
      <c r="A434" s="4"/>
      <c r="B434" s="4"/>
    </row>
    <row r="435" spans="1:3" ht="12.75">
      <c r="A435" s="4"/>
      <c r="B435" s="4"/>
    </row>
    <row r="436" spans="1:3" ht="25.5">
      <c r="A436" s="4">
        <v>156</v>
      </c>
      <c r="B436" s="4" t="str">
        <f>GENERAL!B482</f>
        <v>BRO DANIEL; 0901 162 8531: [Headquarters Usher]; [EVBIOBOGUN SAPELE ROAD BENIN CITY]</v>
      </c>
      <c r="C436" s="5">
        <f>SUM(GENERAL!I445,GENERAL!M445,GENERAL!Q445,GENERAL!U445)</f>
        <v>0</v>
      </c>
    </row>
    <row r="437" spans="1:3" ht="12.75">
      <c r="A437" s="4"/>
      <c r="B437" s="4"/>
    </row>
    <row r="438" spans="1:3" ht="12.75">
      <c r="A438" s="4"/>
      <c r="B438" s="4"/>
    </row>
    <row r="439" spans="1:3" ht="25.5">
      <c r="A439" s="4">
        <v>157</v>
      </c>
      <c r="B439" s="4" t="str">
        <f>GENERAL!B485</f>
        <v>BRO BRIGHT; 0805 215 5988: [Headquarters Usher]; [UNITY STREET OFF ERADIAWA / SAPELE ROAD BENIN CITY]</v>
      </c>
      <c r="C439" s="5">
        <f>SUM(GENERAL!I448,GENERAL!M448,GENERAL!Q448,GENERAL!U448)</f>
        <v>0</v>
      </c>
    </row>
    <row r="440" spans="1:3" ht="12.75">
      <c r="A440" s="4"/>
      <c r="B440" s="4"/>
    </row>
    <row r="441" spans="1:3" ht="12.75">
      <c r="A441" s="4"/>
      <c r="B441" s="4"/>
    </row>
    <row r="442" spans="1:3" ht="25.5">
      <c r="A442" s="4">
        <v>158</v>
      </c>
      <c r="B442" s="4" t="str">
        <f>GENERAL!B488</f>
        <v>BRO SUNDAY; 0906 758 3446: [Headquarters Usher]; [OFF OKHABARE SAPELE ROAD BENIN CITY]</v>
      </c>
      <c r="C442" s="5">
        <f>SUM(GENERAL!I451,GENERAL!M451,GENERAL!Q451,GENERAL!U451)</f>
        <v>0</v>
      </c>
    </row>
    <row r="443" spans="1:3" ht="12.75">
      <c r="A443" s="4"/>
      <c r="B443" s="4"/>
    </row>
    <row r="444" spans="1:3" ht="12.75">
      <c r="A444" s="4"/>
      <c r="B444" s="4"/>
    </row>
    <row r="445" spans="1:3" ht="25.5">
      <c r="A445" s="4">
        <v>159</v>
      </c>
      <c r="B445" s="4" t="str">
        <f>GENERAL!B491</f>
        <v>BRO SUNNY; 0904 982 9594: [Headquarters Usher]; [ALONG ERADIAWA SAPKONBA ROAD BENIN CITY]</v>
      </c>
      <c r="C445" s="5">
        <f>SUM(GENERAL!I454,GENERAL!M454,GENERAL!Q454,GENERAL!U454)</f>
        <v>0</v>
      </c>
    </row>
    <row r="446" spans="1:3" ht="12.75">
      <c r="A446" s="4"/>
      <c r="B446" s="4"/>
    </row>
    <row r="447" spans="1:3" ht="12.75">
      <c r="A447" s="4"/>
      <c r="B447" s="4"/>
    </row>
    <row r="448" spans="1:3" ht="25.5">
      <c r="A448" s="4">
        <v>160</v>
      </c>
      <c r="B448" s="4" t="str">
        <f>GENERAL!B494</f>
        <v>BRO GODWIN; 0705 977 6499: [Headquarters Usher]; [UROHO COMMUNITY OFF SAPELE ROAD BYPASS BENIN CITY]</v>
      </c>
      <c r="C448" s="5">
        <f>SUM(GENERAL!I457,GENERAL!M457,GENERAL!Q457,GENERAL!U457)</f>
        <v>0</v>
      </c>
    </row>
    <row r="449" spans="1:3" ht="12.75">
      <c r="A449" s="4"/>
      <c r="B449" s="4"/>
    </row>
    <row r="450" spans="1:3" ht="12.75">
      <c r="A450" s="4"/>
      <c r="B450" s="4"/>
    </row>
    <row r="451" spans="1:3" ht="25.5">
      <c r="A451" s="4">
        <v>161</v>
      </c>
      <c r="B451" s="4" t="str">
        <f>GENERAL!B497</f>
        <v>BRO GOD'SPOWER; 09011402472: [Headquarters Usher]; [OFF 2ND ERADIAWA LANE, ALONG ERADIAWA SAPELE ROAD, BENIN CITY]</v>
      </c>
      <c r="C451" s="5">
        <f>SUM(GENERAL!I460,GENERAL!M460,GENERAL!Q460,GENERAL!U460)</f>
        <v>0</v>
      </c>
    </row>
    <row r="452" spans="1:3" ht="12.75">
      <c r="A452" s="4"/>
      <c r="B452" s="4"/>
    </row>
    <row r="453" spans="1:3" ht="12.75">
      <c r="A453" s="4"/>
      <c r="B453" s="4"/>
    </row>
    <row r="454" spans="1:3" ht="25.5">
      <c r="A454" s="4">
        <v>162</v>
      </c>
      <c r="B454" s="4" t="str">
        <f>GENERAL!B500</f>
        <v>SIS MERCY; 0813 669 2754: [Headquarters Usher]; [OFF OMOZEE STREET, ERADIAWA / SAPELE ROAD BENIN CITY]</v>
      </c>
      <c r="C454" s="5">
        <f>SUM(GENERAL!I463,GENERAL!M463,GENERAL!Q463,GENERAL!U463)</f>
        <v>0</v>
      </c>
    </row>
    <row r="455" spans="1:3" ht="12.75">
      <c r="A455" s="4"/>
      <c r="B455" s="4"/>
    </row>
    <row r="456" spans="1:3" ht="12.75">
      <c r="A456" s="4"/>
      <c r="B456" s="4"/>
    </row>
    <row r="457" spans="1:3" ht="25.5">
      <c r="A457" s="4">
        <v>163</v>
      </c>
      <c r="B457" s="4" t="str">
        <f>GENERAL!B503</f>
        <v>SIS GOD'S LOVE; 09072995858: [Headquarters Usher]; [OFF TONGO, ERADIAWA / SAPKONBA ROAD BENIN CITY]</v>
      </c>
      <c r="C457" s="5">
        <f>SUM(GENERAL!I466,GENERAL!M466,GENERAL!Q466,GENERAL!U466)</f>
        <v>0</v>
      </c>
    </row>
    <row r="458" spans="1:3" ht="12.75">
      <c r="A458" s="4"/>
      <c r="B458" s="4"/>
    </row>
    <row r="459" spans="1:3" ht="12.75">
      <c r="A459" s="4"/>
      <c r="B459" s="4"/>
    </row>
    <row r="460" spans="1:3" ht="25.5">
      <c r="A460" s="4">
        <v>164</v>
      </c>
      <c r="B460" s="4" t="str">
        <f>GENERAL!B506</f>
        <v>MAMA MUDIA; 0907 197 1344: [Headquarters Usher]; [COUNTRY HOME ROAD, SAPELE ROAD BENIN CITY]</v>
      </c>
      <c r="C460" s="5">
        <f>SUM(GENERAL!I469,GENERAL!M469,GENERAL!Q469,GENERAL!U469)</f>
        <v>0</v>
      </c>
    </row>
    <row r="461" spans="1:3" ht="12.75">
      <c r="A461" s="4"/>
      <c r="B461" s="4"/>
    </row>
    <row r="462" spans="1:3" ht="12.75">
      <c r="A462" s="4"/>
      <c r="B462" s="4"/>
    </row>
    <row r="463" spans="1:3" ht="25.5">
      <c r="A463" s="4">
        <v>165</v>
      </c>
      <c r="B463" s="4" t="str">
        <f>GENERAL!B509</f>
        <v>IGWE DANIEL; 09069367219: [Headquarters Media]; [ADOLLOR STREET  EVBUABOGUN]</v>
      </c>
      <c r="C463" s="5">
        <f>SUM(GENERAL!I472,GENERAL!M472,GENERAL!Q472,GENERAL!U472)</f>
        <v>0</v>
      </c>
    </row>
    <row r="464" spans="1:3" ht="12.75">
      <c r="A464" s="4"/>
      <c r="B464" s="4"/>
    </row>
    <row r="465" spans="1:3" ht="12.75">
      <c r="A465" s="4"/>
      <c r="B465" s="4"/>
    </row>
    <row r="466" spans="1:3" ht="25.5">
      <c r="A466" s="4">
        <v>166</v>
      </c>
      <c r="B466" s="4" t="str">
        <f>GENERAL!B515</f>
        <v>IGWE SUNDAY EJIKE; 09034210872: [Headquarters Media]; [Youth of Power and Glory]</v>
      </c>
      <c r="C466" s="5">
        <f>SUM(GENERAL!I517,GENERAL!M517,GENERAL!Q517,GENERAL!U517,GENERAL!Y517)</f>
        <v>0</v>
      </c>
    </row>
    <row r="467" spans="1:3" ht="12.75">
      <c r="A467" s="4"/>
      <c r="B467" s="4"/>
    </row>
    <row r="468" spans="1:3" ht="12.75">
      <c r="A468" s="4"/>
      <c r="B468" s="4"/>
    </row>
    <row r="469" spans="1:3" ht="25.5">
      <c r="A469" s="4">
        <v>167</v>
      </c>
      <c r="B469" s="4" t="str">
        <f>GENERAL!B518</f>
        <v>MOSES EMMANUEL; 09163371049: [Headquarters Media]; [NO 5 UGIAGBE STREET OFF EREDIAUWA, SAPELE ROAD]</v>
      </c>
      <c r="C469" s="5">
        <f>SUM(GENERAL!I478,GENERAL!M478,GENERAL!Q478,GENERAL!U478)</f>
        <v>0</v>
      </c>
    </row>
    <row r="470" spans="1:3" ht="12.75">
      <c r="A470" s="4"/>
      <c r="B470" s="4"/>
    </row>
    <row r="471" spans="1:3" ht="12.75">
      <c r="A471" s="4"/>
      <c r="B471" s="4"/>
    </row>
    <row r="472" spans="1:3" ht="12.75">
      <c r="A472" s="4">
        <v>168</v>
      </c>
      <c r="B472" s="4" t="str">
        <f>GENERAL!B521</f>
        <v>BRO LUCKY; 09060597582: [Headquarters Media]; [address]</v>
      </c>
      <c r="C472" s="5">
        <f>SUM(GENERAL!I481,GENERAL!M481,GENERAL!Q481,GENERAL!U481)</f>
        <v>0</v>
      </c>
    </row>
    <row r="473" spans="1:3" ht="12.75">
      <c r="A473" s="4"/>
      <c r="B473" s="4"/>
    </row>
    <row r="474" spans="1:3" ht="12.75">
      <c r="A474" s="4"/>
      <c r="B474" s="4"/>
    </row>
    <row r="475" spans="1:3" ht="12.75">
      <c r="A475" s="4">
        <v>169</v>
      </c>
      <c r="B475" s="4" t="str">
        <f>GENERAL!B524</f>
        <v>BRO CHARLES AGBONKINA: [Headquarters Security]; [Address]</v>
      </c>
      <c r="C475" s="5">
        <f>SUM(GENERAL!I484,GENERAL!M484,GENERAL!Q484,GENERAL!U484)</f>
        <v>0</v>
      </c>
    </row>
    <row r="476" spans="1:3" ht="12.75">
      <c r="A476" s="4"/>
      <c r="B476" s="4"/>
    </row>
    <row r="477" spans="1:3" ht="12.75">
      <c r="A477" s="4"/>
      <c r="B477" s="4"/>
    </row>
    <row r="478" spans="1:3" ht="12.75">
      <c r="A478" s="4">
        <v>170</v>
      </c>
      <c r="B478" s="4" t="str">
        <f>GENERAL!B527</f>
        <v>BRO SAMUEL BASSEY: [Headquarters Security]; [Address]</v>
      </c>
      <c r="C478" s="5">
        <f>SUM(GENERAL!I487,GENERAL!M487,GENERAL!Q487,GENERAL!U487)</f>
        <v>0</v>
      </c>
    </row>
    <row r="479" spans="1:3" ht="12.75">
      <c r="A479" s="4"/>
      <c r="B479" s="4"/>
    </row>
    <row r="480" spans="1:3" ht="12.75">
      <c r="A480" s="4"/>
      <c r="B480" s="4"/>
    </row>
    <row r="481" spans="1:3" ht="12.75">
      <c r="A481" s="4">
        <v>171</v>
      </c>
      <c r="B481" s="4" t="str">
        <f>GENERAL!B530</f>
        <v>UZOMA MADUKA: [Headquarters Security]; [Address]</v>
      </c>
      <c r="C481" s="5">
        <f>SUM(GENERAL!I490,GENERAL!M490,GENERAL!Q490,GENERAL!U490)</f>
        <v>0</v>
      </c>
    </row>
    <row r="482" spans="1:3" ht="18" customHeight="1">
      <c r="A482" s="4"/>
      <c r="B482" s="4"/>
    </row>
    <row r="483" spans="1:3" ht="12.75">
      <c r="A483" s="4"/>
      <c r="B483" s="4"/>
    </row>
    <row r="484" spans="1:3" ht="12.75">
      <c r="A484" s="4">
        <v>172</v>
      </c>
      <c r="B484" s="4" t="str">
        <f>GENERAL!B533</f>
        <v>MRS. ELO: [Headquarters Security]; [Address]</v>
      </c>
      <c r="C484" s="5">
        <f>SUM(GENERAL!I493,GENERAL!M493,GENERAL!Q493,GENERAL!U493)</f>
        <v>0</v>
      </c>
    </row>
    <row r="485" spans="1:3" ht="12.75">
      <c r="A485" s="4"/>
      <c r="B485" s="4"/>
    </row>
    <row r="486" spans="1:3" ht="12.75">
      <c r="A486" s="4"/>
      <c r="B486" s="4"/>
    </row>
    <row r="487" spans="1:3" ht="12.75">
      <c r="A487" s="4">
        <v>173</v>
      </c>
      <c r="B487" s="4" t="str">
        <f>GENERAL!B536</f>
        <v>BROTHER BEN: [Headquarters Security]; [Address]</v>
      </c>
      <c r="C487" s="5">
        <f>SUM(GENERAL!I496,GENERAL!M496,GENERAL!Q496,GENERAL!U496)</f>
        <v>0</v>
      </c>
    </row>
    <row r="488" spans="1:3" ht="12.75">
      <c r="A488" s="4"/>
      <c r="B488" s="4"/>
    </row>
    <row r="489" spans="1:3" ht="12.75">
      <c r="A489" s="4"/>
      <c r="B489" s="4"/>
    </row>
    <row r="490" spans="1:3" ht="15" customHeight="1">
      <c r="A490" s="4">
        <v>174</v>
      </c>
      <c r="B490" s="4" t="str">
        <f>GENERAL!B539</f>
        <v>MIN VICTOR; 0810507062: [Headquarters Prayer]; [Address]</v>
      </c>
      <c r="C490" s="5">
        <f>SUM(GENERAL!I499,GENERAL!M499,GENERAL!Q499,GENERAL!U499)</f>
        <v>0</v>
      </c>
    </row>
    <row r="491" spans="1:3" ht="15" customHeight="1">
      <c r="A491" s="4"/>
      <c r="B491" s="4"/>
    </row>
    <row r="492" spans="1:3" ht="12.75">
      <c r="A492" s="4"/>
      <c r="B492" s="4"/>
    </row>
    <row r="493" spans="1:3" ht="12.75">
      <c r="A493" s="4">
        <v>175</v>
      </c>
      <c r="B493" s="4" t="str">
        <f>GENERAL!B542</f>
        <v>MIN BRIGHT; 08052155988: [Headquarters Prayer]; [Address]</v>
      </c>
      <c r="C493" s="5">
        <f>SUM(GENERAL!I502,GENERAL!M502,GENERAL!Q502,GENERAL!U502)</f>
        <v>0</v>
      </c>
    </row>
    <row r="494" spans="1:3" ht="12.75">
      <c r="A494" s="4"/>
      <c r="B494" s="4"/>
    </row>
    <row r="495" spans="1:3" ht="12.75">
      <c r="A495" s="4"/>
      <c r="B495" s="4"/>
    </row>
    <row r="496" spans="1:3" ht="12.75">
      <c r="A496" s="4">
        <v>177</v>
      </c>
      <c r="B496" s="4" t="str">
        <f>GENERAL!B548</f>
        <v>BRO BENARD: [Headquarters Prayer]; [Address]</v>
      </c>
      <c r="C496" s="5">
        <f>SUM(GENERAL!I505,GENERAL!M505,GENERAL!Q505,GENERAL!U505)</f>
        <v>0</v>
      </c>
    </row>
    <row r="497" spans="1:3" ht="12.75">
      <c r="A497" s="4"/>
      <c r="B497" s="4"/>
    </row>
    <row r="498" spans="1:3" ht="12.75">
      <c r="A498" s="4"/>
      <c r="B498" s="4"/>
    </row>
    <row r="499" spans="1:3" ht="12.75">
      <c r="A499" s="4">
        <v>178</v>
      </c>
      <c r="B499" s="4" t="str">
        <f>GENERAL!B551</f>
        <v>BRO GABRIEL: [Headquarters Prayer]; [Address]</v>
      </c>
      <c r="C499" s="5">
        <f>SUM(GENERAL!I508,GENERAL!M508,GENERAL!Q508,GENERAL!U508)</f>
        <v>0</v>
      </c>
    </row>
    <row r="500" spans="1:3" ht="12.75">
      <c r="A500" s="4"/>
      <c r="B500" s="4"/>
    </row>
    <row r="501" spans="1:3" ht="12.75">
      <c r="A501" s="4"/>
      <c r="B501" s="4"/>
    </row>
    <row r="502" spans="1:3" ht="12.75">
      <c r="A502" s="4">
        <v>179</v>
      </c>
      <c r="B502" s="4" t="str">
        <f>GENERAL!B554</f>
        <v>BRO OSAGIE: [Headquarters Prayer]; [Address]</v>
      </c>
      <c r="C502" s="5">
        <f>SUM(GENERAL!I511,GENERAL!M511,GENERAL!Q511,GENERAL!U511)</f>
        <v>0</v>
      </c>
    </row>
    <row r="503" spans="1:3" ht="12.75">
      <c r="A503" s="4"/>
      <c r="B503" s="4"/>
    </row>
    <row r="504" spans="1:3" ht="12.75">
      <c r="A504" s="4"/>
      <c r="B504" s="4"/>
    </row>
    <row r="505" spans="1:3" ht="12.75">
      <c r="A505" s="4">
        <v>181</v>
      </c>
      <c r="B505" s="4" t="str">
        <f>GENERAL!B560</f>
        <v>MIN BRIGHT; 08052155988: [Headquarters Godly Action]; [Address]</v>
      </c>
      <c r="C505" s="5">
        <f>SUM(GENERAL!I514,GENERAL!M514,GENERAL!Q514,GENERAL!U514)</f>
        <v>0</v>
      </c>
    </row>
    <row r="506" spans="1:3" ht="12.75">
      <c r="A506" s="4"/>
      <c r="B506" s="4"/>
    </row>
    <row r="507" spans="1:3" ht="12.75">
      <c r="A507" s="4"/>
      <c r="B507" s="4"/>
    </row>
    <row r="508" spans="1:3" ht="12.75">
      <c r="A508" s="4">
        <v>182</v>
      </c>
      <c r="B508" s="4" t="str">
        <f>GENERAL!B563</f>
        <v>BRO LUCKY; 08116110454: [Headquarters Godly Action]; [Address]</v>
      </c>
      <c r="C508" s="5">
        <f>SUM(GENERAL!I517,GENERAL!M517,GENERAL!Q517,GENERAL!U517)</f>
        <v>0</v>
      </c>
    </row>
    <row r="509" spans="1:3" ht="12.75">
      <c r="A509" s="4"/>
      <c r="B509" s="4"/>
    </row>
    <row r="510" spans="1:3" ht="12.75">
      <c r="A510" s="4"/>
      <c r="B510" s="4"/>
    </row>
    <row r="511" spans="1:3" ht="12.75">
      <c r="A511" s="4">
        <v>183</v>
      </c>
      <c r="B511" s="4" t="str">
        <f>GENERAL!B566</f>
        <v>BRO MORRIS; 08071978244: [Headquarters Godly Action]; [Address]</v>
      </c>
      <c r="C511" s="5">
        <f>SUM(GENERAL!I520,GENERAL!M520,GENERAL!Q520,GENERAL!U520)</f>
        <v>0</v>
      </c>
    </row>
    <row r="512" spans="1:3" ht="12.75">
      <c r="A512" s="4"/>
      <c r="B512" s="4"/>
    </row>
    <row r="513" spans="1:3" ht="12.75">
      <c r="A513" s="4"/>
      <c r="B513" s="4"/>
    </row>
    <row r="514" spans="1:3" ht="12.75">
      <c r="A514" s="4">
        <v>184</v>
      </c>
      <c r="B514" s="4" t="str">
        <f>GENERAL!B569</f>
        <v>BRO GOD'S POWER; 09011402427: [Headquarters Godly Action]; [Address]</v>
      </c>
      <c r="C514" s="5">
        <f>SUM(GENERAL!I523,GENERAL!M523,GENERAL!Q523,GENERAL!U523)</f>
        <v>0</v>
      </c>
    </row>
    <row r="515" spans="1:3" ht="12.75">
      <c r="A515" s="4"/>
      <c r="B515" s="4"/>
    </row>
    <row r="516" spans="1:3" ht="12.75">
      <c r="A516" s="4"/>
      <c r="B516" s="4"/>
    </row>
    <row r="517" spans="1:3" ht="12.75">
      <c r="A517" s="4">
        <v>185</v>
      </c>
      <c r="B517" s="4" t="str">
        <f>GENERAL!B572</f>
        <v>BRO VICTORY; 0911295701: [Headquarters Godly Action]; [Address]</v>
      </c>
      <c r="C517" s="5">
        <f>SUM(GENERAL!I526,GENERAL!M526,GENERAL!Q526,GENERAL!U526)</f>
        <v>0</v>
      </c>
    </row>
    <row r="518" spans="1:3" ht="12.75">
      <c r="A518" s="4"/>
      <c r="B518" s="4"/>
    </row>
    <row r="519" spans="1:3" ht="12.75">
      <c r="A519" s="4"/>
      <c r="B519" s="4"/>
    </row>
    <row r="520" spans="1:3" ht="12.75">
      <c r="A520" s="4">
        <v>186</v>
      </c>
      <c r="B520" s="4" t="str">
        <f>GENERAL!B575</f>
        <v>SIS CHARITY; 07018582492: [Headquarters Godly Action]; [Address]</v>
      </c>
      <c r="C520" s="5">
        <f>SUM(GENERAL!I529,GENERAL!M529,GENERAL!Q529,GENERAL!U529)</f>
        <v>0</v>
      </c>
    </row>
    <row r="521" spans="1:3" ht="12.75">
      <c r="A521" s="4"/>
      <c r="B521" s="4">
        <f>GENERAL!B576</f>
        <v>0</v>
      </c>
    </row>
    <row r="522" spans="1:3" ht="12.75">
      <c r="A522" s="4"/>
      <c r="B522" s="4"/>
    </row>
    <row r="523" spans="1:3" ht="12.75">
      <c r="A523" s="4">
        <v>187</v>
      </c>
      <c r="B523" s="4" t="str">
        <f>GENERAL!B578</f>
        <v>SIS FAVOUR; 09156464691: [Headquarters Godly Action]; [Address]</v>
      </c>
      <c r="C523" s="5">
        <f>SUM(GENERAL!I532,GENERAL!M532,GENERAL!Q532,GENERAL!U532)</f>
        <v>0</v>
      </c>
    </row>
    <row r="524" spans="1:3" ht="12.75">
      <c r="A524" s="4"/>
      <c r="B524" s="4"/>
    </row>
    <row r="525" spans="1:3" ht="12.75">
      <c r="A525" s="4"/>
      <c r="B525" s="4"/>
    </row>
    <row r="526" spans="1:3" ht="12.75">
      <c r="A526" s="4">
        <v>188</v>
      </c>
      <c r="B526" s="4" t="str">
        <f>GENERAL!B581</f>
        <v>SIS GRACE; 09032441393: [Headquarters Godly Action]; [Address]</v>
      </c>
      <c r="C526" s="5">
        <f>SUM(GENERAL!I535,GENERAL!M535,GENERAL!Q535,GENERAL!U535)</f>
        <v>0</v>
      </c>
    </row>
    <row r="527" spans="1:3" ht="12.75">
      <c r="A527" s="4"/>
      <c r="B527" s="4"/>
    </row>
    <row r="528" spans="1:3" ht="12.75">
      <c r="A528" s="4"/>
      <c r="B528" s="4"/>
    </row>
    <row r="529" spans="1:3" ht="12.75">
      <c r="A529" s="4">
        <v>189</v>
      </c>
      <c r="B529" s="4" t="str">
        <f>GENERAL!B584</f>
        <v>SIS JOY; 09165656495: [Headquarters Godly Action]; [Address]</v>
      </c>
      <c r="C529" s="5">
        <f>SUM(GENERAL!I538,GENERAL!M538,GENERAL!Q538,GENERAL!U538)</f>
        <v>0</v>
      </c>
    </row>
    <row r="530" spans="1:3" ht="12.75">
      <c r="A530" s="4"/>
      <c r="B530" s="4"/>
    </row>
    <row r="531" spans="1:3" ht="12.75">
      <c r="A531" s="4"/>
      <c r="B531" s="4"/>
    </row>
    <row r="532" spans="1:3" ht="12.75">
      <c r="A532" s="4">
        <v>190</v>
      </c>
      <c r="B532" s="4" t="str">
        <f>GENERAL!B587</f>
        <v>BRO DAN; 09069367216: [Headquarters Godly Action]; [Address]</v>
      </c>
      <c r="C532" s="5">
        <f>SUM(GENERAL!I541,GENERAL!M541,GENERAL!Q541,GENERAL!U541)</f>
        <v>0</v>
      </c>
    </row>
    <row r="533" spans="1:3" ht="12.75">
      <c r="A533" s="4"/>
      <c r="B533" s="4"/>
    </row>
    <row r="534" spans="1:3" ht="12.75">
      <c r="A534" s="4"/>
      <c r="B534" s="4"/>
    </row>
    <row r="535" spans="1:3" ht="12.75">
      <c r="A535" s="4">
        <v>191</v>
      </c>
      <c r="B535" s="4" t="str">
        <f>GENERAL!B590</f>
        <v>SIS COURAGE; 09052268276: [Headquarters Godly Action]; [Address]</v>
      </c>
      <c r="C535" s="5">
        <f>SUM(GENERAL!I544,GENERAL!M544,GENERAL!Q544,GENERAL!U544)</f>
        <v>0</v>
      </c>
    </row>
    <row r="536" spans="1:3" ht="12.75">
      <c r="A536" s="4"/>
      <c r="B536" s="4"/>
    </row>
    <row r="537" spans="1:3" ht="12.75">
      <c r="A537" s="4"/>
      <c r="B537" s="4"/>
    </row>
    <row r="538" spans="1:3" ht="12.75">
      <c r="A538" s="4">
        <v>192</v>
      </c>
      <c r="B538" s="4" t="str">
        <f>GENERAL!B593</f>
        <v>BRO MARVELOUS; 09011816906: [Headquarters Godly Action]; [Address]</v>
      </c>
      <c r="C538" s="5">
        <f>SUM(GENERAL!I547,GENERAL!M547,GENERAL!Q547,GENERAL!U547)</f>
        <v>0</v>
      </c>
    </row>
    <row r="539" spans="1:3" ht="12.75">
      <c r="A539" s="4"/>
      <c r="B539" s="4"/>
    </row>
    <row r="540" spans="1:3" ht="12.75">
      <c r="A540" s="4"/>
      <c r="B540" s="4"/>
    </row>
    <row r="541" spans="1:3" ht="12.75">
      <c r="A541" s="4">
        <v>193</v>
      </c>
      <c r="B541" s="4" t="str">
        <f>GENERAL!B596</f>
        <v>BRO OSA-GREAT; 07010707729: [Headquarters Godly Action]; [Address]</v>
      </c>
      <c r="C541" s="5">
        <f>SUM(GENERAL!I550,GENERAL!M550,GENERAL!Q550,GENERAL!U550)</f>
        <v>0</v>
      </c>
    </row>
    <row r="542" spans="1:3" ht="12.75">
      <c r="A542" s="4"/>
      <c r="B542" s="4"/>
    </row>
    <row r="543" spans="1:3" ht="12.75">
      <c r="A543" s="4"/>
      <c r="B543" s="4"/>
    </row>
    <row r="544" spans="1:3" ht="12.75">
      <c r="A544" s="4">
        <v>194</v>
      </c>
      <c r="B544" s="4" t="str">
        <f>GENERAL!B599</f>
        <v>BRO OSA-WEALTH; 08023656579: [Headquarters Godly Action]; [Address]</v>
      </c>
      <c r="C544" s="5">
        <f>SUM(GENERAL!I553,GENERAL!M553,GENERAL!Q553,GENERAL!U553)</f>
        <v>0</v>
      </c>
    </row>
    <row r="545" spans="1:3" ht="12.75">
      <c r="A545" s="4"/>
      <c r="B545" s="4"/>
    </row>
    <row r="546" spans="1:3" ht="12.75">
      <c r="A546" s="4"/>
      <c r="B546" s="4"/>
    </row>
    <row r="547" spans="1:3" ht="16.5" customHeight="1">
      <c r="A547" s="4">
        <v>195</v>
      </c>
      <c r="B547" s="4" t="str">
        <f>GENERAL!B602</f>
        <v>SIS OSA-LIGHT: [Headquarters Godly Action]; [Address]</v>
      </c>
      <c r="C547" s="5">
        <f>SUM(GENERAL!I556,GENERAL!M556,GENERAL!Q556,GENERAL!U556)</f>
        <v>0</v>
      </c>
    </row>
    <row r="548" spans="1:3" ht="12.75">
      <c r="A548" s="4"/>
      <c r="B548" s="4"/>
    </row>
    <row r="549" spans="1:3" ht="12.75">
      <c r="A549" s="4"/>
      <c r="B549" s="4"/>
    </row>
    <row r="550" spans="1:3" ht="12.75">
      <c r="A550" s="4">
        <v>196</v>
      </c>
      <c r="B550" s="4" t="str">
        <f>GENERAL!B338</f>
        <v>HAPPINESS; 09043805704: [Headquarters Member]; [Youth of Power and Glory]</v>
      </c>
      <c r="C550" s="5">
        <f>SUM(GENERAL!I559,GENERAL!M559,GENERAL!Q559,GENERAL!U559)</f>
        <v>0</v>
      </c>
    </row>
    <row r="551" spans="1:3" ht="12.75">
      <c r="A551" s="4"/>
      <c r="B551" s="4"/>
    </row>
    <row r="552" spans="1:3" ht="12.75">
      <c r="A552" s="4"/>
      <c r="B552" s="4"/>
    </row>
    <row r="553" spans="1:3" ht="25.5">
      <c r="A553" s="4">
        <v>197</v>
      </c>
      <c r="B553" s="4" t="str">
        <f>GENERAL!B341</f>
        <v>OTABOR BLESSING; 09020677657: [Headquarters Member]; [Youth of Power and Glory]</v>
      </c>
      <c r="C553" s="5">
        <f>SUM(GENERAL!I562,GENERAL!M562,GENERAL!Q562,GENERAL!U562)</f>
        <v>0</v>
      </c>
    </row>
    <row r="554" spans="1:3" ht="12.75">
      <c r="A554" s="4"/>
      <c r="B554" s="4"/>
    </row>
    <row r="555" spans="1:3" ht="12.75">
      <c r="A555" s="4"/>
      <c r="B555" s="4"/>
    </row>
    <row r="556" spans="1:3" ht="12.75">
      <c r="A556" s="4">
        <v>198</v>
      </c>
      <c r="B556" s="4" t="str">
        <f>GENERAL!B344</f>
        <v>ABEL FAITH; 09031582781: [Headquarters Member]; [Youth of Power and Glory]</v>
      </c>
      <c r="C556" s="5">
        <f>SUM(GENERAL!I565,GENERAL!M565,GENERAL!Q565,GENERAL!U565)</f>
        <v>0</v>
      </c>
    </row>
    <row r="557" spans="1:3" ht="12.75">
      <c r="A557" s="4">
        <v>198</v>
      </c>
      <c r="B557" s="4">
        <f>GENERAL!B345</f>
        <v>0</v>
      </c>
      <c r="C557" s="5">
        <f>SUM(GENERAL!I347,GENERAL!M347,GENERAL!Q347,GENERAL!U347)</f>
        <v>0</v>
      </c>
    </row>
    <row r="558" spans="1:3" ht="12.75">
      <c r="A558" s="4">
        <v>198</v>
      </c>
      <c r="B558" s="4">
        <f>GENERAL!B346</f>
        <v>0</v>
      </c>
      <c r="C558" s="5">
        <f>SUM(GENERAL!I348,GENERAL!M348,GENERAL!Q348,GENERAL!U348)</f>
        <v>0</v>
      </c>
    </row>
    <row r="559" spans="1:3" ht="12.75">
      <c r="A559" s="4">
        <v>198</v>
      </c>
      <c r="B559" s="4" t="str">
        <f>GENERAL!B347</f>
        <v>UGBEKILE FAITH; 0901216393: [Headquarters Member]; [Youth of Power and Glory]</v>
      </c>
      <c r="C559" s="5">
        <f>SUM(GENERAL!I568,GENERAL!M568,GENERAL!Q568,GENERAL!U568)</f>
        <v>0</v>
      </c>
    </row>
    <row r="560" spans="1:3" ht="12.75">
      <c r="A560" s="4">
        <v>198</v>
      </c>
      <c r="B560" s="4">
        <f>GENERAL!B348</f>
        <v>0</v>
      </c>
      <c r="C560" s="5">
        <f>SUM(GENERAL!I350,GENERAL!M350,GENERAL!Q350,GENERAL!U350)</f>
        <v>0</v>
      </c>
    </row>
    <row r="561" spans="1:3" ht="12.75">
      <c r="A561" s="4">
        <v>198</v>
      </c>
      <c r="B561" s="4">
        <f>GENERAL!B349</f>
        <v>0</v>
      </c>
      <c r="C561" s="5">
        <f>SUM(GENERAL!I351,GENERAL!M351,GENERAL!Q351,GENERAL!U351)</f>
        <v>0</v>
      </c>
    </row>
    <row r="562" spans="1:3" ht="12.75">
      <c r="A562" s="4">
        <v>198</v>
      </c>
      <c r="B562" s="4" t="str">
        <f>GENERAL!B350</f>
        <v>EDUGHEAN TITI; 09150360507: [Headquarters Member]; [Youth of Power and Glory]</v>
      </c>
      <c r="C562" s="5">
        <f>SUM(GENERAL!I571,GENERAL!M571,GENERAL!Q571,GENERAL!U571)</f>
        <v>0</v>
      </c>
    </row>
    <row r="563" spans="1:3" ht="12.75">
      <c r="A563" s="4">
        <v>198</v>
      </c>
      <c r="B563" s="4">
        <f>GENERAL!B351</f>
        <v>0</v>
      </c>
      <c r="C563" s="5">
        <f>SUM(GENERAL!I353,GENERAL!M353,GENERAL!Q353,GENERAL!U353)</f>
        <v>0</v>
      </c>
    </row>
    <row r="564" spans="1:3" ht="12.75">
      <c r="A564" s="4">
        <v>198</v>
      </c>
      <c r="B564" s="4">
        <f>GENERAL!B352</f>
        <v>0</v>
      </c>
      <c r="C564" s="5">
        <f>SUM(GENERAL!I354,GENERAL!M354,GENERAL!Q354,GENERAL!U354)</f>
        <v>0</v>
      </c>
    </row>
    <row r="565" spans="1:3" ht="12.75">
      <c r="A565" s="4">
        <v>198</v>
      </c>
      <c r="B565" s="4" t="str">
        <f>GENERAL!B353</f>
        <v>APPLE; 08126551701: [Headquarters Member]; [Youth of Power and Glory]</v>
      </c>
      <c r="C565" s="5">
        <f>SUM(GENERAL!I574,GENERAL!M574,GENERAL!Q574,GENERAL!U574)</f>
        <v>0</v>
      </c>
    </row>
    <row r="566" spans="1:3" ht="12.75">
      <c r="A566" s="4">
        <v>198</v>
      </c>
      <c r="B566" s="4">
        <f>GENERAL!B354</f>
        <v>0</v>
      </c>
      <c r="C566" s="5">
        <f>SUM(GENERAL!I356,GENERAL!M356,GENERAL!Q356,GENERAL!U356)</f>
        <v>0</v>
      </c>
    </row>
    <row r="567" spans="1:3" ht="12.75">
      <c r="A567" s="4">
        <v>198</v>
      </c>
      <c r="B567" s="4">
        <f>GENERAL!B355</f>
        <v>0</v>
      </c>
      <c r="C567" s="5">
        <f>SUM(GENERAL!I357,GENERAL!M357,GENERAL!Q357,GENERAL!U357)</f>
        <v>0</v>
      </c>
    </row>
    <row r="568" spans="1:3" ht="25.5">
      <c r="A568" s="4">
        <v>198</v>
      </c>
      <c r="B568" s="4" t="str">
        <f>GENERAL!B356</f>
        <v>MOSES EMMANUEL; 09163371049: [Headquarters Member]; [Youth of Power and Glory]</v>
      </c>
      <c r="C568" s="5">
        <f>SUM(GENERAL!I577,GENERAL!M577,GENERAL!Q577,GENERAL!U577)</f>
        <v>0</v>
      </c>
    </row>
    <row r="569" spans="1:3" ht="12.75">
      <c r="A569" s="4">
        <v>198</v>
      </c>
      <c r="B569" s="4">
        <f>GENERAL!B357</f>
        <v>0</v>
      </c>
      <c r="C569" s="5">
        <f>SUM(GENERAL!I359,GENERAL!M359,GENERAL!Q359,GENERAL!U359)</f>
        <v>0</v>
      </c>
    </row>
    <row r="570" spans="1:3" ht="12.75">
      <c r="A570" s="4">
        <v>198</v>
      </c>
      <c r="B570" s="4">
        <f>GENERAL!B358</f>
        <v>0</v>
      </c>
      <c r="C570" s="5">
        <f>SUM(GENERAL!I360,GENERAL!M360,GENERAL!Q360,GENERAL!U360)</f>
        <v>0</v>
      </c>
    </row>
    <row r="571" spans="1:3" ht="25.5">
      <c r="A571" s="4">
        <v>198</v>
      </c>
      <c r="B571" s="4" t="str">
        <f>GENERAL!B359</f>
        <v>NOSAKHARE RAYMOND; 09121632466: [Headquarters Member]; [Youth of Power and Glory]</v>
      </c>
      <c r="C571" s="5">
        <f>SUM(GENERAL!I580,GENERAL!M580,GENERAL!Q580,GENERAL!U580)</f>
        <v>0</v>
      </c>
    </row>
    <row r="572" spans="1:3" ht="12.75">
      <c r="A572" s="4">
        <v>198</v>
      </c>
      <c r="B572" s="4">
        <f>GENERAL!B360</f>
        <v>0</v>
      </c>
      <c r="C572" s="5">
        <f>SUM(GENERAL!I362,GENERAL!M362,GENERAL!Q362,GENERAL!U362)</f>
        <v>0</v>
      </c>
    </row>
    <row r="573" spans="1:3" ht="12.75">
      <c r="A573" s="4">
        <v>198</v>
      </c>
      <c r="B573" s="4">
        <f>GENERAL!B361</f>
        <v>0</v>
      </c>
      <c r="C573" s="5">
        <f>SUM(GENERAL!I363,GENERAL!M363,GENERAL!Q363,GENERAL!U363)</f>
        <v>0</v>
      </c>
    </row>
    <row r="574" spans="1:3" ht="12.75">
      <c r="A574" s="4">
        <v>198</v>
      </c>
      <c r="B574" s="4" t="str">
        <f>GENERAL!B362</f>
        <v>KEGBEJIE EXCEL; 08023798580: [Headquarters Member]; [Youth of Power and Glory]</v>
      </c>
      <c r="C574" s="5">
        <f>SUM(GENERAL!I583,GENERAL!M583,GENERAL!Q583,GENERAL!U583)</f>
        <v>0</v>
      </c>
    </row>
    <row r="575" spans="1:3" ht="12.75">
      <c r="A575" s="4">
        <v>198</v>
      </c>
      <c r="B575" s="4">
        <f>GENERAL!B363</f>
        <v>0</v>
      </c>
      <c r="C575" s="5">
        <f>SUM(GENERAL!I365,GENERAL!M365,GENERAL!Q365,GENERAL!U365)</f>
        <v>0</v>
      </c>
    </row>
    <row r="576" spans="1:3" ht="12.75">
      <c r="A576" s="4">
        <v>198</v>
      </c>
      <c r="B576" s="4">
        <f>GENERAL!B364</f>
        <v>0</v>
      </c>
      <c r="C576" s="5">
        <f>SUM(GENERAL!I366,GENERAL!M366,GENERAL!Q366,GENERAL!U366)</f>
        <v>0</v>
      </c>
    </row>
    <row r="577" spans="1:3" ht="12.75">
      <c r="A577" s="4">
        <v>198</v>
      </c>
      <c r="B577" s="4" t="str">
        <f>GENERAL!B365</f>
        <v>BRO. SUNNY; 09049829594: [Headquarters Member]; [Youth of Power and Glory]</v>
      </c>
      <c r="C577" s="5">
        <f>SUM(GENERAL!I586,GENERAL!M586,GENERAL!Q586,GENERAL!U586)</f>
        <v>0</v>
      </c>
    </row>
    <row r="578" spans="1:3" ht="12.75">
      <c r="A578" s="4">
        <v>198</v>
      </c>
      <c r="B578" s="4">
        <f>GENERAL!B366</f>
        <v>0</v>
      </c>
      <c r="C578" s="5">
        <f>SUM(GENERAL!I368,GENERAL!M368,GENERAL!Q368,GENERAL!U368)</f>
        <v>0</v>
      </c>
    </row>
    <row r="579" spans="1:3" ht="12.75">
      <c r="A579" s="4">
        <v>198</v>
      </c>
      <c r="B579" s="4">
        <f>GENERAL!B367</f>
        <v>0</v>
      </c>
      <c r="C579" s="5">
        <f>SUM(GENERAL!I369,GENERAL!M369,GENERAL!Q369,GENERAL!U369)</f>
        <v>0</v>
      </c>
    </row>
    <row r="580" spans="1:3" ht="12.75">
      <c r="A580" s="4">
        <v>198</v>
      </c>
      <c r="B580" s="4" t="str">
        <f>GENERAL!B368</f>
        <v>SIS STELLA; 09122392393: [Headquarters Member]; [Youth of Power and Glory]</v>
      </c>
      <c r="C580" s="5">
        <f>SUM(GENERAL!I589,GENERAL!M589,GENERAL!Q589,GENERAL!U589)</f>
        <v>0</v>
      </c>
    </row>
    <row r="581" spans="1:3" ht="12.75">
      <c r="A581" s="4">
        <v>198</v>
      </c>
      <c r="B581" s="4">
        <f>GENERAL!B369</f>
        <v>0</v>
      </c>
      <c r="C581" s="5">
        <f>SUM(GENERAL!I371,GENERAL!M371,GENERAL!Q371,GENERAL!U371)</f>
        <v>0</v>
      </c>
    </row>
    <row r="582" spans="1:3" ht="12.75">
      <c r="A582" s="4">
        <v>198</v>
      </c>
      <c r="B582" s="4">
        <f>GENERAL!B370</f>
        <v>0</v>
      </c>
      <c r="C582" s="5">
        <f>SUM(GENERAL!I372,GENERAL!M372,GENERAL!Q372,GENERAL!U372)</f>
        <v>0</v>
      </c>
    </row>
    <row r="583" spans="1:3" ht="12.75">
      <c r="A583" s="4">
        <v>198</v>
      </c>
      <c r="B583" s="4" t="str">
        <f>GENERAL!B371</f>
        <v>BEST; 07065313405: [Headquarters Member]; [Youth of Power and Glory]</v>
      </c>
      <c r="C583" s="5">
        <f>SUM(GENERAL!I592,GENERAL!M592,GENERAL!Q592,GENERAL!U592)</f>
        <v>0</v>
      </c>
    </row>
    <row r="584" spans="1:3" ht="12.75">
      <c r="A584" s="4">
        <v>198</v>
      </c>
      <c r="B584" s="4">
        <f>GENERAL!B372</f>
        <v>0</v>
      </c>
      <c r="C584" s="5">
        <f>SUM(GENERAL!I374,GENERAL!M374,GENERAL!Q374,GENERAL!U374)</f>
        <v>0</v>
      </c>
    </row>
    <row r="585" spans="1:3" ht="12.75">
      <c r="A585" s="4">
        <v>198</v>
      </c>
      <c r="B585" s="4">
        <f>GENERAL!B373</f>
        <v>0</v>
      </c>
      <c r="C585" s="5">
        <f>SUM(GENERAL!I375,GENERAL!M375,GENERAL!Q375,GENERAL!U375)</f>
        <v>0</v>
      </c>
    </row>
    <row r="586" spans="1:3" ht="12.75">
      <c r="A586" s="4">
        <v>198</v>
      </c>
      <c r="B586" s="4" t="str">
        <f>GENERAL!B374</f>
        <v>DAVID ELOGHOSA; 08119166172: [Headquarters Member]; [Youth of Power and Glory]</v>
      </c>
      <c r="C586" s="5">
        <f>SUM(GENERAL!I595,GENERAL!M595,GENERAL!Q595,GENERAL!U595)</f>
        <v>0</v>
      </c>
    </row>
    <row r="587" spans="1:3" ht="12.75">
      <c r="A587" s="4">
        <v>198</v>
      </c>
      <c r="B587" s="4">
        <f>GENERAL!B375</f>
        <v>0</v>
      </c>
      <c r="C587" s="5">
        <f>SUM(GENERAL!I377,GENERAL!M377,GENERAL!Q377,GENERAL!U377)</f>
        <v>0</v>
      </c>
    </row>
    <row r="588" spans="1:3" ht="12.75">
      <c r="A588" s="4">
        <v>198</v>
      </c>
      <c r="B588" s="4">
        <f>GENERAL!B376</f>
        <v>0</v>
      </c>
      <c r="C588" s="5">
        <f>SUM(GENERAL!I378,GENERAL!M378,GENERAL!Q378,GENERAL!U378)</f>
        <v>0</v>
      </c>
    </row>
    <row r="589" spans="1:3" ht="25.5">
      <c r="A589" s="4">
        <v>198</v>
      </c>
      <c r="B589" s="4" t="str">
        <f>GENERAL!B377</f>
        <v>EFEAWARHRE BLESSING; 07049564684: [Headquarters Member]; [Youth of Power and Glory]</v>
      </c>
      <c r="C589" s="5">
        <f>SUM(GENERAL!I598,GENERAL!M598,GENERAL!Q598,GENERAL!U598)</f>
        <v>0</v>
      </c>
    </row>
    <row r="590" spans="1:3" ht="12.75">
      <c r="A590" s="4">
        <v>198</v>
      </c>
      <c r="B590" s="4">
        <f>GENERAL!B378</f>
        <v>0</v>
      </c>
      <c r="C590" s="5">
        <f>SUM(GENERAL!I380,GENERAL!M380,GENERAL!Q380,GENERAL!U380)</f>
        <v>0</v>
      </c>
    </row>
    <row r="591" spans="1:3" ht="12.75">
      <c r="A591" s="4">
        <v>198</v>
      </c>
      <c r="B591" s="4">
        <f>GENERAL!B379</f>
        <v>0</v>
      </c>
      <c r="C591" s="5">
        <f>SUM(GENERAL!I381,GENERAL!M381,GENERAL!Q381,GENERAL!U381)</f>
        <v>0</v>
      </c>
    </row>
    <row r="592" spans="1:3" ht="25.5">
      <c r="A592" s="4">
        <v>198</v>
      </c>
      <c r="B592" s="4" t="str">
        <f>GENERAL!B380</f>
        <v>AMEREKA GODSPOWER; 09011402472: [Headquarters Member]; [Youth of Power and Glory]</v>
      </c>
      <c r="C592" s="5">
        <f>SUM(GENERAL!I601,GENERAL!M601,GENERAL!Q601,GENERAL!U601)</f>
        <v>0</v>
      </c>
    </row>
    <row r="593" spans="1:3" ht="12.75">
      <c r="A593" s="4">
        <v>198</v>
      </c>
      <c r="B593" s="4">
        <f>GENERAL!B381</f>
        <v>0</v>
      </c>
      <c r="C593" s="5">
        <f>SUM(GENERAL!I383,GENERAL!M383,GENERAL!Q383,GENERAL!U383)</f>
        <v>0</v>
      </c>
    </row>
    <row r="594" spans="1:3" ht="12.75">
      <c r="A594" s="4">
        <v>198</v>
      </c>
      <c r="B594" s="4">
        <f>GENERAL!B382</f>
        <v>0</v>
      </c>
      <c r="C594" s="5">
        <f>SUM(GENERAL!I384,GENERAL!M384,GENERAL!Q384,GENERAL!U384)</f>
        <v>0</v>
      </c>
    </row>
    <row r="595" spans="1:3" ht="25.5">
      <c r="A595" s="4">
        <v>198</v>
      </c>
      <c r="B595" s="4" t="str">
        <f>GENERAL!B383</f>
        <v>ERHARUYI OSAGIE; 08022564429: [Headquarters Member]; [Youth of Power and Glory]</v>
      </c>
      <c r="C595" s="5">
        <f>SUM(GENERAL!I604,GENERAL!M604,GENERAL!Q604,GENERAL!U604)</f>
        <v>0</v>
      </c>
    </row>
    <row r="596" spans="1:3" ht="12.75">
      <c r="A596" s="4">
        <v>198</v>
      </c>
      <c r="B596" s="4">
        <f>GENERAL!B384</f>
        <v>0</v>
      </c>
      <c r="C596" s="5">
        <f>SUM(GENERAL!I386,GENERAL!M386,GENERAL!Q386,GENERAL!U386)</f>
        <v>0</v>
      </c>
    </row>
    <row r="597" spans="1:3" ht="12.75">
      <c r="A597" s="4">
        <v>198</v>
      </c>
      <c r="B597" s="4">
        <f>GENERAL!B385</f>
        <v>0</v>
      </c>
      <c r="C597" s="5">
        <f>SUM(GENERAL!I387,GENERAL!M387,GENERAL!Q387,GENERAL!U387)</f>
        <v>0</v>
      </c>
    </row>
    <row r="598" spans="1:3" ht="12.75">
      <c r="A598" s="4">
        <v>198</v>
      </c>
      <c r="B598" s="4" t="str">
        <f>GENERAL!B386</f>
        <v>JIMOH BRIGHT; 08052155988: [Headquarters Member]; [Youth of Power and Glory]</v>
      </c>
      <c r="C598" s="5">
        <f>SUM(GENERAL!I607,GENERAL!M607,GENERAL!Q607,GENERAL!U607)</f>
        <v>0</v>
      </c>
    </row>
    <row r="599" spans="1:3" ht="12.75">
      <c r="A599" s="4">
        <v>198</v>
      </c>
      <c r="B599" s="4">
        <f>GENERAL!B387</f>
        <v>0</v>
      </c>
      <c r="C599" s="5">
        <f>SUM(GENERAL!I389,GENERAL!M389,GENERAL!Q389,GENERAL!U389)</f>
        <v>0</v>
      </c>
    </row>
    <row r="600" spans="1:3" ht="12.75">
      <c r="A600" s="4">
        <v>198</v>
      </c>
      <c r="B600" s="4">
        <f>GENERAL!B388</f>
        <v>0</v>
      </c>
      <c r="C600" s="5">
        <f>SUM(GENERAL!I390,GENERAL!M390,GENERAL!Q390,GENERAL!U390)</f>
        <v>0</v>
      </c>
    </row>
    <row r="601" spans="1:3" ht="12.75">
      <c r="A601" s="4">
        <v>198</v>
      </c>
      <c r="B601" s="4" t="str">
        <f>GENERAL!B389</f>
        <v>NAME; PHONE: [Headquarters Member]; [Youth of Power and Glory]</v>
      </c>
      <c r="C601" s="5">
        <f>SUM(GENERAL!I610,GENERAL!M610,GENERAL!Q610,GENERAL!U610)</f>
        <v>0</v>
      </c>
    </row>
    <row r="602" spans="1:3" ht="12.75">
      <c r="A602" s="4">
        <v>198</v>
      </c>
      <c r="B602" s="4">
        <f>GENERAL!B390</f>
        <v>0</v>
      </c>
      <c r="C602" s="5">
        <f>SUM(GENERAL!I392,GENERAL!M392,GENERAL!Q392,GENERAL!U392)</f>
        <v>0</v>
      </c>
    </row>
    <row r="603" spans="1:3" ht="12.75">
      <c r="A603" s="4">
        <v>198</v>
      </c>
      <c r="B603" s="4">
        <f>GENERAL!B391</f>
        <v>0</v>
      </c>
      <c r="C603" s="5">
        <f>SUM(GENERAL!I393,GENERAL!M393,GENERAL!Q393,GENERAL!U393)</f>
        <v>0</v>
      </c>
    </row>
    <row r="604" spans="1:3" ht="12.75">
      <c r="A604" s="4">
        <v>198</v>
      </c>
      <c r="B604" s="4" t="str">
        <f>GENERAL!B392</f>
        <v>INEGBE VERA; 09114634367: [Headquarters Member]; [Youth of Power and Glory]</v>
      </c>
      <c r="C604" s="5">
        <f>SUM(GENERAL!I613,GENERAL!M613,GENERAL!Q613,GENERAL!U613)</f>
        <v>2</v>
      </c>
    </row>
    <row r="605" spans="1:3" ht="12.75">
      <c r="A605" s="4">
        <v>198</v>
      </c>
      <c r="B605" s="4">
        <f>GENERAL!B393</f>
        <v>0</v>
      </c>
      <c r="C605" s="5">
        <f>SUM(GENERAL!I395,GENERAL!M395,GENERAL!Q395,GENERAL!U395)</f>
        <v>0</v>
      </c>
    </row>
    <row r="606" spans="1:3" ht="12.75">
      <c r="A606" s="4">
        <v>198</v>
      </c>
      <c r="B606" s="4">
        <f>GENERAL!B394</f>
        <v>0</v>
      </c>
      <c r="C606" s="5">
        <f>SUM(GENERAL!I396,GENERAL!M396,GENERAL!Q396,GENERAL!U396)</f>
        <v>0</v>
      </c>
    </row>
    <row r="607" spans="1:3" ht="12.75">
      <c r="A607" s="4">
        <v>198</v>
      </c>
      <c r="B607" s="4" t="str">
        <f>GENERAL!B395</f>
        <v>ATANE COURAGE; 09052268276: [Headquarters Member]; [Youth of Power and Glory]</v>
      </c>
      <c r="C607" s="5">
        <f>SUM(GENERAL!I616,GENERAL!M616,GENERAL!Q616,GENERAL!U616)</f>
        <v>0</v>
      </c>
    </row>
    <row r="608" spans="1:3" ht="12.75">
      <c r="A608" s="4">
        <v>198</v>
      </c>
      <c r="B608" s="4">
        <f>GENERAL!B396</f>
        <v>0</v>
      </c>
      <c r="C608" s="5">
        <f>SUM(GENERAL!I398,GENERAL!M398,GENERAL!Q398,GENERAL!U398)</f>
        <v>0</v>
      </c>
    </row>
    <row r="609" spans="1:3" ht="12.75">
      <c r="A609" s="4">
        <v>198</v>
      </c>
      <c r="B609" s="4">
        <f>GENERAL!B397</f>
        <v>0</v>
      </c>
      <c r="C609" s="5">
        <f>SUM(GENERAL!I399,GENERAL!M399,GENERAL!Q399,GENERAL!U399)</f>
        <v>0</v>
      </c>
    </row>
    <row r="610" spans="1:3" ht="12.75">
      <c r="A610" s="4">
        <v>198</v>
      </c>
      <c r="B610" s="4" t="str">
        <f>GENERAL!B398</f>
        <v>ATANE JOY; 09165656493: [Headquarters Member]; [Youth of Power and Glory]</v>
      </c>
      <c r="C610" s="5">
        <f>SUM(GENERAL!I619,GENERAL!M619,GENERAL!Q619,GENERAL!U619)</f>
        <v>0</v>
      </c>
    </row>
    <row r="611" spans="1:3" ht="12.75">
      <c r="A611" s="4">
        <v>198</v>
      </c>
      <c r="B611" s="4">
        <f>GENERAL!B399</f>
        <v>0</v>
      </c>
      <c r="C611" s="5">
        <f>SUM(GENERAL!I401,GENERAL!M401,GENERAL!Q401,GENERAL!U401)</f>
        <v>0</v>
      </c>
    </row>
    <row r="612" spans="1:3" ht="12.75">
      <c r="A612" s="4">
        <v>198</v>
      </c>
      <c r="B612" s="4">
        <f>GENERAL!B400</f>
        <v>0</v>
      </c>
      <c r="C612" s="5">
        <f>SUM(GENERAL!I402,GENERAL!M402,GENERAL!Q402,GENERAL!U402)</f>
        <v>0</v>
      </c>
    </row>
    <row r="613" spans="1:3" ht="25.5">
      <c r="A613" s="4">
        <v>198</v>
      </c>
      <c r="B613" s="4" t="str">
        <f>GENERAL!B401</f>
        <v>IDAHOTA PRECIOUS; 08144836505: [Headquarters Member]; [Youth of Power and Glory]</v>
      </c>
      <c r="C613" s="5">
        <f>SUM(GENERAL!I622,GENERAL!M622,GENERAL!Q622,GENERAL!U622)</f>
        <v>0</v>
      </c>
    </row>
    <row r="614" spans="1:3" ht="12.75">
      <c r="A614" s="4">
        <v>198</v>
      </c>
      <c r="B614" s="4">
        <f>GENERAL!B402</f>
        <v>0</v>
      </c>
      <c r="C614" s="5">
        <f>SUM(GENERAL!I404,GENERAL!M404,GENERAL!Q404,GENERAL!U404)</f>
        <v>0</v>
      </c>
    </row>
    <row r="615" spans="1:3" ht="12.75">
      <c r="A615" s="4">
        <v>198</v>
      </c>
      <c r="B615" s="4">
        <f>GENERAL!B403</f>
        <v>0</v>
      </c>
      <c r="C615" s="5">
        <f>SUM(GENERAL!I405,GENERAL!M405,GENERAL!Q405,GENERAL!U405)</f>
        <v>0</v>
      </c>
    </row>
    <row r="616" spans="1:3" ht="12.75">
      <c r="A616" s="4">
        <v>198</v>
      </c>
      <c r="B616" s="4" t="str">
        <f>GENERAL!B404</f>
        <v>TRUST; 08117028203: [Headquarters Member]; [Youth of Power and Glory]</v>
      </c>
      <c r="C616" s="5">
        <f>SUM(GENERAL!I625,GENERAL!M625,GENERAL!Q625,GENERAL!U625)</f>
        <v>0</v>
      </c>
    </row>
    <row r="617" spans="1:3" ht="12.75">
      <c r="A617" s="4">
        <v>198</v>
      </c>
      <c r="B617" s="4">
        <f>GENERAL!B405</f>
        <v>0</v>
      </c>
      <c r="C617" s="5">
        <f>SUM(GENERAL!I407,GENERAL!M407,GENERAL!Q407,GENERAL!U407)</f>
        <v>0</v>
      </c>
    </row>
    <row r="618" spans="1:3" ht="12.75">
      <c r="A618" s="4">
        <v>198</v>
      </c>
      <c r="B618" s="4">
        <f>GENERAL!B406</f>
        <v>0</v>
      </c>
      <c r="C618" s="5">
        <f>SUM(GENERAL!I408,GENERAL!M408,GENERAL!Q408,GENERAL!U408)</f>
        <v>0</v>
      </c>
    </row>
    <row r="619" spans="1:3" ht="12.75">
      <c r="A619" s="4">
        <v>198</v>
      </c>
      <c r="B619" s="4" t="str">
        <f>GENERAL!B407</f>
        <v>FAVOUR; 09156464691: [Headquarters Member]; [Youth of Power and Glory]</v>
      </c>
      <c r="C619" s="5">
        <f>SUM(GENERAL!I628,GENERAL!M628,GENERAL!Q628,GENERAL!U628)</f>
        <v>0</v>
      </c>
    </row>
    <row r="620" spans="1:3" ht="12.75">
      <c r="A620" s="4">
        <v>198</v>
      </c>
      <c r="B620" s="4">
        <f>GENERAL!B408</f>
        <v>0</v>
      </c>
      <c r="C620" s="5">
        <f>SUM(GENERAL!I410,GENERAL!M410,GENERAL!Q410,GENERAL!U410)</f>
        <v>0</v>
      </c>
    </row>
    <row r="621" spans="1:3" ht="12.75">
      <c r="A621" s="4">
        <v>198</v>
      </c>
      <c r="B621" s="4">
        <f>GENERAL!B409</f>
        <v>0</v>
      </c>
      <c r="C621" s="5">
        <f>SUM(GENERAL!I411,GENERAL!M411,GENERAL!Q411,GENERAL!U411)</f>
        <v>0</v>
      </c>
    </row>
    <row r="622" spans="1:3" ht="12.75">
      <c r="A622" s="4">
        <v>198</v>
      </c>
      <c r="B622" s="4" t="str">
        <f>GENERAL!B413</f>
        <v>MICHEAL; 09163092391: [Headquarters Member]; [Youth of Power and Glory]</v>
      </c>
      <c r="C622" s="5">
        <f>SUM(GENERAL!I631,GENERAL!M631,GENERAL!Q631,GENERAL!U631)</f>
        <v>0</v>
      </c>
    </row>
    <row r="623" spans="1:3" ht="12.75">
      <c r="A623" s="4">
        <v>198</v>
      </c>
      <c r="B623" s="4">
        <f>GENERAL!B414</f>
        <v>0</v>
      </c>
      <c r="C623" s="5">
        <f>SUM(GENERAL!I416,GENERAL!M416,GENERAL!Q416,GENERAL!U416)</f>
        <v>0</v>
      </c>
    </row>
    <row r="624" spans="1:3" ht="12.75">
      <c r="A624" s="4">
        <v>198</v>
      </c>
      <c r="B624" s="4">
        <f>GENERAL!B415</f>
        <v>0</v>
      </c>
      <c r="C624" s="5">
        <f>SUM(GENERAL!I417,GENERAL!M417,GENERAL!Q417,GENERAL!U417)</f>
        <v>0</v>
      </c>
    </row>
    <row r="625" spans="1:3" ht="12.75">
      <c r="A625" s="4">
        <v>198</v>
      </c>
      <c r="B625" s="4" t="str">
        <f>GENERAL!B416</f>
        <v>DESTINY (D.V); 07026612509: [Headquarters Member]; [Youth of Power and Glory]</v>
      </c>
      <c r="C625" s="5">
        <f>SUM(GENERAL!I634,GENERAL!M634,GENERAL!Q634,GENERAL!U634)</f>
        <v>0</v>
      </c>
    </row>
    <row r="626" spans="1:3" ht="12.75">
      <c r="A626" s="4">
        <v>198</v>
      </c>
      <c r="B626" s="4">
        <f>GENERAL!B417</f>
        <v>0</v>
      </c>
      <c r="C626" s="5">
        <f>SUM(GENERAL!I419,GENERAL!M419,GENERAL!Q419,GENERAL!U419)</f>
        <v>0</v>
      </c>
    </row>
    <row r="627" spans="1:3" ht="12.75">
      <c r="A627" s="4">
        <v>198</v>
      </c>
      <c r="B627" s="4">
        <f>GENERAL!B418</f>
        <v>0</v>
      </c>
      <c r="C627" s="5">
        <f>SUM(GENERAL!I420,GENERAL!M420,GENERAL!Q420,GENERAL!U420)</f>
        <v>0</v>
      </c>
    </row>
    <row r="628" spans="1:3" ht="12.75">
      <c r="A628" s="4">
        <v>198</v>
      </c>
      <c r="B628" s="4" t="str">
        <f>GENERAL!B419</f>
        <v>PROMISE; 08136200278: [Headquarters Member]; [Youth of Power and Glory]</v>
      </c>
      <c r="C628" s="5">
        <f>SUM(GENERAL!I637,GENERAL!M637,GENERAL!Q637,GENERAL!U637)</f>
        <v>0</v>
      </c>
    </row>
    <row r="629" spans="1:3" ht="12.75">
      <c r="A629" s="4">
        <v>198</v>
      </c>
      <c r="B629" s="4">
        <f>GENERAL!B420</f>
        <v>0</v>
      </c>
      <c r="C629" s="5">
        <f>SUM(GENERAL!I422,GENERAL!M422,GENERAL!Q422,GENERAL!U422)</f>
        <v>0</v>
      </c>
    </row>
    <row r="630" spans="1:3" ht="12.75">
      <c r="A630" s="4">
        <v>198</v>
      </c>
      <c r="B630" s="4">
        <f>GENERAL!B421</f>
        <v>0</v>
      </c>
      <c r="C630" s="5">
        <f>SUM(GENERAL!I423,GENERAL!M423,GENERAL!Q423,GENERAL!U423)</f>
        <v>0</v>
      </c>
    </row>
    <row r="631" spans="1:3" ht="12.75">
      <c r="A631" s="4">
        <v>198</v>
      </c>
      <c r="B631" s="4" t="str">
        <f>GENERAL!B422</f>
        <v>GIFT; 09049602484: [Headquarters Member]; [Youth of Power and Glory]</v>
      </c>
      <c r="C631" s="5">
        <f>SUM(GENERAL!I640,GENERAL!M640,GENERAL!Q640,GENERAL!U640)</f>
        <v>0</v>
      </c>
    </row>
    <row r="632" spans="1:3" ht="12.75">
      <c r="A632" s="4">
        <v>198</v>
      </c>
      <c r="B632" s="4">
        <f>GENERAL!B423</f>
        <v>0</v>
      </c>
      <c r="C632" s="5">
        <f>SUM(GENERAL!I425,GENERAL!M425,GENERAL!Q425,GENERAL!U425)</f>
        <v>0</v>
      </c>
    </row>
    <row r="633" spans="1:3" ht="12.75">
      <c r="A633" s="4">
        <v>198</v>
      </c>
      <c r="B633" s="4">
        <f>GENERAL!B424</f>
        <v>0</v>
      </c>
      <c r="C633" s="5">
        <f>SUM(GENERAL!I426,GENERAL!M426,GENERAL!Q426,GENERAL!U426)</f>
        <v>0</v>
      </c>
    </row>
    <row r="634" spans="1:3" ht="12.75">
      <c r="A634" s="4">
        <v>198</v>
      </c>
      <c r="B634" s="4" t="str">
        <f>GENERAL!B425</f>
        <v>GODBLESS; 08109258878: [Headquarters Member]; [Youth of Power and Glory]</v>
      </c>
      <c r="C634" s="5">
        <f>SUM(GENERAL!I643,GENERAL!M643,GENERAL!Q643,GENERAL!U643)</f>
        <v>0</v>
      </c>
    </row>
    <row r="635" spans="1:3" ht="12.75">
      <c r="A635" s="4">
        <v>198</v>
      </c>
      <c r="B635" s="4">
        <f>GENERAL!B426</f>
        <v>0</v>
      </c>
      <c r="C635" s="5">
        <f>SUM(GENERAL!I428,GENERAL!M428,GENERAL!Q428,GENERAL!U428)</f>
        <v>0</v>
      </c>
    </row>
    <row r="636" spans="1:3" ht="12.75">
      <c r="A636" s="4">
        <v>198</v>
      </c>
      <c r="B636" s="4">
        <f>GENERAL!B427</f>
        <v>0</v>
      </c>
      <c r="C636" s="5">
        <f>SUM(GENERAL!I429,GENERAL!M429,GENERAL!Q429,GENERAL!U429)</f>
        <v>0</v>
      </c>
    </row>
    <row r="637" spans="1:3" ht="12.75">
      <c r="A637" s="4">
        <v>198</v>
      </c>
      <c r="B637" s="4" t="str">
        <f>GENERAL!B428</f>
        <v>BLESSED; 09159832300: [Headquarters Member]; [Youth of Power and Glory]</v>
      </c>
      <c r="C637" s="5">
        <f>SUM(GENERAL!I646,GENERAL!M646,GENERAL!Q646,GENERAL!U646)</f>
        <v>0</v>
      </c>
    </row>
    <row r="638" spans="1:3" ht="12.75">
      <c r="A638" s="4">
        <v>198</v>
      </c>
      <c r="B638" s="4">
        <f>GENERAL!B429</f>
        <v>0</v>
      </c>
      <c r="C638" s="5">
        <f>SUM(GENERAL!I431,GENERAL!M431,GENERAL!Q431,GENERAL!U431)</f>
        <v>0</v>
      </c>
    </row>
    <row r="639" spans="1:3" ht="12.75">
      <c r="A639" s="4">
        <v>198</v>
      </c>
      <c r="B639" s="4">
        <f>GENERAL!B430</f>
        <v>0</v>
      </c>
      <c r="C639" s="5">
        <f>SUM(GENERAL!I432,GENERAL!M432,GENERAL!Q432,GENERAL!U432)</f>
        <v>0</v>
      </c>
    </row>
    <row r="640" spans="1:3" ht="12.75">
      <c r="A640" s="4">
        <v>198</v>
      </c>
      <c r="B640" s="4" t="str">
        <f>GENERAL!B431</f>
        <v>HOPE; 09160585796: [Headquarters Member]; [Youth of Power and Glory]</v>
      </c>
      <c r="C640" s="5">
        <f>SUM(GENERAL!I649,GENERAL!M649,GENERAL!Q649,GENERAL!U649)</f>
        <v>0</v>
      </c>
    </row>
    <row r="641" spans="1:3" ht="12.75">
      <c r="A641" s="4">
        <v>198</v>
      </c>
      <c r="B641" s="4">
        <f>GENERAL!B432</f>
        <v>0</v>
      </c>
      <c r="C641" s="5">
        <f>SUM(GENERAL!I434,GENERAL!M434,GENERAL!Q434,GENERAL!U434)</f>
        <v>0</v>
      </c>
    </row>
    <row r="642" spans="1:3" ht="12.75">
      <c r="A642" s="4">
        <v>198</v>
      </c>
      <c r="B642" s="4">
        <f>GENERAL!B433</f>
        <v>0</v>
      </c>
      <c r="C642" s="5">
        <f>SUM(GENERAL!I435,GENERAL!M435,GENERAL!Q435,GENERAL!U435)</f>
        <v>0</v>
      </c>
    </row>
    <row r="643" spans="1:3" ht="12.75">
      <c r="A643" s="4">
        <v>198</v>
      </c>
      <c r="B643" s="4" t="str">
        <f>GENERAL!B434</f>
        <v>PRECIOUS EVANS; 07063057221: [Headquarters Member]; [Youth of Power and Glory]</v>
      </c>
      <c r="C643" s="5">
        <f>SUM(GENERAL!I652,GENERAL!M652,GENERAL!Q652,GENERAL!U652)</f>
        <v>0</v>
      </c>
    </row>
    <row r="644" spans="1:3" ht="12.75">
      <c r="A644" s="4">
        <v>198</v>
      </c>
      <c r="B644" s="4">
        <f>GENERAL!B435</f>
        <v>0</v>
      </c>
      <c r="C644" s="5">
        <f>SUM(GENERAL!I437,GENERAL!M437,GENERAL!Q437,GENERAL!U437)</f>
        <v>0</v>
      </c>
    </row>
    <row r="645" spans="1:3" ht="12.75">
      <c r="A645" s="4">
        <v>198</v>
      </c>
      <c r="B645" s="4">
        <f>GENERAL!B436</f>
        <v>0</v>
      </c>
      <c r="C645" s="5">
        <f>SUM(GENERAL!I438,GENERAL!M438,GENERAL!Q438,GENERAL!U438)</f>
        <v>0</v>
      </c>
    </row>
    <row r="646" spans="1:3" ht="12.75">
      <c r="A646" s="4">
        <v>198</v>
      </c>
      <c r="B646" s="4" t="str">
        <f>GENERAL!B437</f>
        <v>IGWE DANIEL; 09069367219: [Headquarters Member]; [Youth of Power and Glory]</v>
      </c>
      <c r="C646" s="5">
        <f>SUM(GENERAL!I655,GENERAL!M655,GENERAL!Q655,GENERAL!U655)</f>
        <v>0</v>
      </c>
    </row>
    <row r="647" spans="1:3" ht="12.75">
      <c r="A647" s="4">
        <v>198</v>
      </c>
      <c r="B647" s="4">
        <f>GENERAL!B438</f>
        <v>0</v>
      </c>
      <c r="C647" s="5">
        <f>SUM(GENERAL!I440,GENERAL!M440,GENERAL!Q440,GENERAL!U440)</f>
        <v>0</v>
      </c>
    </row>
    <row r="648" spans="1:3" ht="12.75">
      <c r="A648" s="4">
        <v>198</v>
      </c>
      <c r="B648" s="4">
        <f>GENERAL!B439</f>
        <v>0</v>
      </c>
      <c r="C648" s="5">
        <f>SUM(GENERAL!I441,GENERAL!M441,GENERAL!Q441,GENERAL!U441)</f>
        <v>0</v>
      </c>
    </row>
    <row r="649" spans="1:3" ht="25.5">
      <c r="A649" s="4">
        <v>198</v>
      </c>
      <c r="B649" s="4" t="str">
        <f>GENERAL!B440</f>
        <v>NOSAKHARE GLAMOUR; 09050078657: [Headquarters Member]; [Youth of Power and Glory]</v>
      </c>
      <c r="C649" s="5">
        <f>SUM(GENERAL!I658,GENERAL!M658,GENERAL!Q658,GENERAL!U658)</f>
        <v>0</v>
      </c>
    </row>
    <row r="650" spans="1:3" ht="12.75">
      <c r="A650" s="4">
        <v>198</v>
      </c>
      <c r="B650" s="4">
        <f>GENERAL!B441</f>
        <v>0</v>
      </c>
      <c r="C650" s="5">
        <f>SUM(GENERAL!I443,GENERAL!M443,GENERAL!Q443,GENERAL!U443)</f>
        <v>0</v>
      </c>
    </row>
    <row r="651" spans="1:3" ht="12.75">
      <c r="A651" s="4">
        <v>198</v>
      </c>
      <c r="B651" s="4">
        <f>GENERAL!B442</f>
        <v>0</v>
      </c>
      <c r="C651" s="5">
        <f>SUM(GENERAL!I444,GENERAL!M444,GENERAL!Q444,GENERAL!U444)</f>
        <v>0</v>
      </c>
    </row>
    <row r="652" spans="1:3" ht="12.75">
      <c r="A652" s="4">
        <v>198</v>
      </c>
      <c r="B652" s="4" t="str">
        <f>GENERAL!B443</f>
        <v>UKUW T. VICTORY; 09112957011: [Headquarters Member]; [Youth of Power and Glory]</v>
      </c>
      <c r="C652" s="5">
        <f>SUM(GENERAL!I661,GENERAL!M661,GENERAL!Q661,GENERAL!U661)</f>
        <v>0</v>
      </c>
    </row>
    <row r="653" spans="1:3" ht="12.75">
      <c r="A653" s="4">
        <v>198</v>
      </c>
      <c r="B653" s="4">
        <f>GENERAL!B444</f>
        <v>0</v>
      </c>
      <c r="C653" s="5">
        <f>SUM(GENERAL!I446,GENERAL!M446,GENERAL!Q446,GENERAL!U446)</f>
        <v>0</v>
      </c>
    </row>
    <row r="654" spans="1:3" ht="12.75">
      <c r="A654" s="4">
        <v>198</v>
      </c>
      <c r="B654" s="4">
        <f>GENERAL!B445</f>
        <v>0</v>
      </c>
      <c r="C654" s="5">
        <f>SUM(GENERAL!I447,GENERAL!M447,GENERAL!Q447,GENERAL!U447)</f>
        <v>0</v>
      </c>
    </row>
    <row r="655" spans="1:3" ht="12.75">
      <c r="A655" s="4">
        <v>198</v>
      </c>
      <c r="B655" s="4" t="str">
        <f>GENERAL!B446</f>
        <v>OREDIA VICTORY; 08144836505: [Headquarters Member]; [Youth of Power and Glory]</v>
      </c>
      <c r="C655" s="5">
        <f>SUM(GENERAL!I664,GENERAL!M664,GENERAL!Q664,GENERAL!U664)</f>
        <v>0</v>
      </c>
    </row>
    <row r="656" spans="1:3" ht="12.75">
      <c r="A656" s="4">
        <v>198</v>
      </c>
      <c r="B656" s="4">
        <f>GENERAL!B447</f>
        <v>0</v>
      </c>
      <c r="C656" s="5">
        <f>SUM(GENERAL!I449,GENERAL!M449,GENERAL!Q449,GENERAL!U449)</f>
        <v>0</v>
      </c>
    </row>
    <row r="657" spans="1:3" ht="12.75">
      <c r="A657" s="4">
        <v>198</v>
      </c>
      <c r="B657" s="4">
        <f>GENERAL!B448</f>
        <v>0</v>
      </c>
      <c r="C657" s="5">
        <f>SUM(GENERAL!I450,GENERAL!M450,GENERAL!Q450,GENERAL!U450)</f>
        <v>0</v>
      </c>
    </row>
    <row r="658" spans="1:3" ht="12.75">
      <c r="A658" s="4">
        <v>198</v>
      </c>
      <c r="B658" s="4" t="str">
        <f>GENERAL!B449</f>
        <v>INEGBEDION EHIS; 09039548529: [Headquarters Member]; [Youth of Power and Glory]</v>
      </c>
      <c r="C658" s="5">
        <f>SUM(GENERAL!I667,GENERAL!M667,GENERAL!Q667,GENERAL!U667)</f>
        <v>0</v>
      </c>
    </row>
    <row r="659" spans="1:3" ht="12.75">
      <c r="A659" s="4">
        <v>198</v>
      </c>
      <c r="B659" s="4">
        <f>GENERAL!B450</f>
        <v>0</v>
      </c>
      <c r="C659" s="5">
        <f>SUM(GENERAL!I452,GENERAL!M452,GENERAL!Q452,GENERAL!U452)</f>
        <v>0</v>
      </c>
    </row>
    <row r="660" spans="1:3" ht="12.75">
      <c r="A660" s="4">
        <v>198</v>
      </c>
      <c r="B660" s="4">
        <f>GENERAL!B451</f>
        <v>0</v>
      </c>
      <c r="C660" s="5">
        <f>SUM(GENERAL!I453,GENERAL!M453,GENERAL!Q453,GENERAL!U453)</f>
        <v>0</v>
      </c>
    </row>
    <row r="661" spans="1:3" ht="12.75">
      <c r="A661" s="4">
        <v>198</v>
      </c>
      <c r="B661" s="4" t="str">
        <f>GENERAL!B452</f>
        <v>NOSA SPLENDOR ; 07031567546: [Headquarters Member]; [Youth of Power and Glory]</v>
      </c>
      <c r="C661" s="5">
        <f>SUM(GENERAL!I670,GENERAL!M670,GENERAL!Q670,GENERAL!U670)</f>
        <v>0</v>
      </c>
    </row>
    <row r="662" spans="1:3" ht="12.75">
      <c r="A662" s="4">
        <v>198</v>
      </c>
      <c r="B662" s="4">
        <f>GENERAL!B453</f>
        <v>0</v>
      </c>
      <c r="C662" s="5">
        <f>SUM(GENERAL!I455,GENERAL!M455,GENERAL!Q455,GENERAL!U455)</f>
        <v>0</v>
      </c>
    </row>
    <row r="663" spans="1:3" ht="12.75">
      <c r="A663" s="4">
        <v>198</v>
      </c>
      <c r="B663" s="4">
        <f>GENERAL!B454</f>
        <v>0</v>
      </c>
      <c r="C663" s="5">
        <f>SUM(GENERAL!I456,GENERAL!M456,GENERAL!Q456,GENERAL!U456)</f>
        <v>0</v>
      </c>
    </row>
    <row r="664" spans="1:3" ht="25.5">
      <c r="A664" s="4">
        <v>198</v>
      </c>
      <c r="B664" s="4" t="str">
        <f>GENERAL!B455</f>
        <v>MARVELLOUS BRIGHT; 09011816906: [Headquarters Member]; [Youth of Power and Glory]</v>
      </c>
      <c r="C664" s="5">
        <f>SUM(GENERAL!I673,GENERAL!M673,GENERAL!Q673,GENERAL!U673)</f>
        <v>0</v>
      </c>
    </row>
    <row r="665" spans="1:3" ht="12.75">
      <c r="A665" s="4">
        <v>198</v>
      </c>
      <c r="B665" s="4">
        <f>GENERAL!B456</f>
        <v>0</v>
      </c>
      <c r="C665" s="5">
        <f>SUM(GENERAL!I458,GENERAL!M458,GENERAL!Q458,GENERAL!U458)</f>
        <v>0</v>
      </c>
    </row>
    <row r="666" spans="1:3" ht="12.75">
      <c r="A666" s="4">
        <v>198</v>
      </c>
      <c r="B666" s="4">
        <f>GENERAL!B457</f>
        <v>0</v>
      </c>
      <c r="C666" s="5">
        <f>SUM(GENERAL!I459,GENERAL!M459,GENERAL!Q459,GENERAL!U459)</f>
        <v>0</v>
      </c>
    </row>
    <row r="667" spans="1:3" ht="12.75">
      <c r="A667" s="4">
        <v>198</v>
      </c>
      <c r="B667" s="4" t="str">
        <f>GENERAL!B458</f>
        <v>PROSPER; 09132772715: [Headquarters Member]; [Youth of Power and Glory]</v>
      </c>
      <c r="C667" s="5">
        <f>SUM(GENERAL!I676,GENERAL!M676,GENERAL!Q676,GENERAL!U676)</f>
        <v>0</v>
      </c>
    </row>
    <row r="668" spans="1:3" ht="12.75">
      <c r="A668" s="4">
        <v>198</v>
      </c>
      <c r="B668" s="4">
        <f>GENERAL!B459</f>
        <v>0</v>
      </c>
      <c r="C668" s="5">
        <f>SUM(GENERAL!I461,GENERAL!M461,GENERAL!Q461,GENERAL!U461)</f>
        <v>0</v>
      </c>
    </row>
    <row r="669" spans="1:3" ht="12.75">
      <c r="A669" s="4">
        <v>198</v>
      </c>
      <c r="B669" s="4">
        <f>GENERAL!B460</f>
        <v>0</v>
      </c>
      <c r="C669" s="5">
        <f>SUM(GENERAL!I462,GENERAL!M462,GENERAL!Q462,GENERAL!U462)</f>
        <v>0</v>
      </c>
    </row>
    <row r="670" spans="1:3" ht="25.5">
      <c r="A670" s="4">
        <v>198</v>
      </c>
      <c r="B670" s="4" t="str">
        <f>GENERAL!B461</f>
        <v>DIGBEDION ATESO; 09069000699: [Headquarters Member]; [Youth of Power and Glory]</v>
      </c>
      <c r="C670" s="5">
        <f>SUM(GENERAL!I679,GENERAL!M679,GENERAL!Q679,GENERAL!U679)</f>
        <v>0</v>
      </c>
    </row>
    <row r="671" spans="1:3" ht="12.75">
      <c r="A671" s="4">
        <v>198</v>
      </c>
      <c r="B671" s="4">
        <f>GENERAL!B462</f>
        <v>0</v>
      </c>
      <c r="C671" s="5">
        <f>SUM(GENERAL!I464,GENERAL!M464,GENERAL!Q464,GENERAL!U464)</f>
        <v>0</v>
      </c>
    </row>
    <row r="672" spans="1:3" ht="12.75">
      <c r="A672" s="4">
        <v>198</v>
      </c>
      <c r="B672" s="4">
        <f>GENERAL!B463</f>
        <v>0</v>
      </c>
      <c r="C672" s="5">
        <f>SUM(GENERAL!I465,GENERAL!M465,GENERAL!Q465,GENERAL!U465)</f>
        <v>0</v>
      </c>
    </row>
    <row r="673" spans="1:3" ht="12.75">
      <c r="A673" s="4">
        <v>198</v>
      </c>
      <c r="B673" s="4" t="str">
        <f>GENERAL!B464</f>
        <v>JIMOH LUCKY; 08060597582: [Headquarters Member]; [Youth of Power and Glory]</v>
      </c>
      <c r="C673" s="5">
        <f>SUM(GENERAL!I682,GENERAL!M682,GENERAL!Q682,GENERAL!U682)</f>
        <v>0</v>
      </c>
    </row>
    <row r="674" spans="1:3" ht="12.75">
      <c r="A674" s="4">
        <v>198</v>
      </c>
      <c r="B674" s="4">
        <f>GENERAL!B465</f>
        <v>0</v>
      </c>
      <c r="C674" s="5">
        <f>SUM(GENERAL!I467,GENERAL!M467,GENERAL!Q467,GENERAL!U467)</f>
        <v>0</v>
      </c>
    </row>
    <row r="675" spans="1:3" ht="12.75">
      <c r="A675" s="4">
        <v>198</v>
      </c>
      <c r="B675" s="4">
        <f>GENERAL!B466</f>
        <v>0</v>
      </c>
      <c r="C675" s="5">
        <f>SUM(GENERAL!I468,GENERAL!M468,GENERAL!Q468,GENERAL!U468)</f>
        <v>0</v>
      </c>
    </row>
    <row r="676" spans="1:3" ht="25.5">
      <c r="A676" s="4">
        <v>198</v>
      </c>
      <c r="B676" s="4" t="str">
        <f>GENERAL!B467</f>
        <v>EDUGAELO VICTOR; 08105070675: [Headquarters Member]; [Youth of Power and Glory]</v>
      </c>
      <c r="C676" s="5">
        <f>SUM(GENERAL!I685,GENERAL!M685,GENERAL!Q685,GENERAL!U685)</f>
        <v>0</v>
      </c>
    </row>
    <row r="677" spans="1:3" ht="12.75">
      <c r="A677" s="4">
        <v>198</v>
      </c>
      <c r="B677" s="4">
        <f>GENERAL!B468</f>
        <v>0</v>
      </c>
      <c r="C677" s="5">
        <f>SUM(GENERAL!I470,GENERAL!M470,GENERAL!Q470,GENERAL!U470)</f>
        <v>0</v>
      </c>
    </row>
    <row r="678" spans="1:3" ht="12.75">
      <c r="A678" s="4">
        <v>198</v>
      </c>
      <c r="B678" s="4">
        <f>GENERAL!B469</f>
        <v>0</v>
      </c>
      <c r="C678" s="5">
        <f>SUM(GENERAL!I471,GENERAL!M471,GENERAL!Q471,GENERAL!U471)</f>
        <v>0</v>
      </c>
    </row>
    <row r="679" spans="1:3" ht="12.75">
      <c r="A679" s="4">
        <v>198</v>
      </c>
      <c r="B679" s="4" t="str">
        <f>GENERAL!B470</f>
        <v>NOSAKHARE BLESSING; 09050078657: [Headquarters Choir]; [Address]</v>
      </c>
      <c r="C679" s="5">
        <f>SUM(GENERAL!I688,GENERAL!M688,GENERAL!Q688,GENERAL!U688)</f>
        <v>0</v>
      </c>
    </row>
    <row r="680" spans="1:3" ht="12.75">
      <c r="A680" s="4">
        <v>198</v>
      </c>
      <c r="B680" s="4">
        <f>GENERAL!B471</f>
        <v>0</v>
      </c>
      <c r="C680" s="5">
        <f>SUM(GENERAL!I473,GENERAL!M473,GENERAL!Q473,GENERAL!U473)</f>
        <v>0</v>
      </c>
    </row>
    <row r="681" spans="1:3" ht="12.75">
      <c r="A681" s="4">
        <v>198</v>
      </c>
      <c r="B681" s="4">
        <f>GENERAL!B472</f>
        <v>0</v>
      </c>
      <c r="C681" s="5">
        <f>SUM(GENERAL!I474,GENERAL!M474,GENERAL!Q474,GENERAL!U474)</f>
        <v>0</v>
      </c>
    </row>
    <row r="682" spans="1:3" ht="12.75">
      <c r="A682" s="4">
        <v>198</v>
      </c>
      <c r="B682" s="4" t="str">
        <f>GENERAL!B473</f>
        <v>OBAHOR BLESSING 09020677657: [Headquarters Choir]; [Address]</v>
      </c>
      <c r="C682" s="5">
        <f>SUM(GENERAL!I691,GENERAL!M691,GENERAL!Q691,GENERAL!U691)</f>
        <v>0</v>
      </c>
    </row>
    <row r="683" spans="1:3" ht="12.75">
      <c r="A683" s="4">
        <v>198</v>
      </c>
      <c r="B683" s="4">
        <f>GENERAL!B474</f>
        <v>0</v>
      </c>
      <c r="C683" s="5">
        <f>SUM(GENERAL!I476,GENERAL!M476,GENERAL!Q476,GENERAL!U476)</f>
        <v>0</v>
      </c>
    </row>
    <row r="684" spans="1:3" ht="12.75">
      <c r="A684" s="4">
        <v>198</v>
      </c>
      <c r="B684" s="4">
        <f>GENERAL!B475</f>
        <v>0</v>
      </c>
      <c r="C684" s="5">
        <f>SUM(GENERAL!I477,GENERAL!M477,GENERAL!Q477,GENERAL!U477)</f>
        <v>0</v>
      </c>
    </row>
    <row r="685" spans="1:3" ht="25.5">
      <c r="A685" s="4">
        <v>198</v>
      </c>
      <c r="B685" s="4" t="str">
        <f>GENERAL!B476</f>
        <v>BRO BEST;  07065313405: [Headquarters Usher ]; [AFTER CORNER STONE CHURCH AMAGBA, BENIN CITY]</v>
      </c>
      <c r="C685" s="5">
        <f>SUM(GENERAL!I694,GENERAL!M694,GENERAL!Q694,GENERAL!U694)</f>
        <v>0</v>
      </c>
    </row>
    <row r="686" spans="1:3" ht="12.75">
      <c r="A686" s="4">
        <v>198</v>
      </c>
      <c r="B686" s="4">
        <f>GENERAL!B477</f>
        <v>0</v>
      </c>
      <c r="C686" s="5">
        <f>SUM(GENERAL!I479,GENERAL!M479,GENERAL!Q479,GENERAL!U479)</f>
        <v>0</v>
      </c>
    </row>
    <row r="687" spans="1:3" ht="12.75">
      <c r="A687" s="4">
        <v>198</v>
      </c>
      <c r="B687" s="4">
        <f>GENERAL!B478</f>
        <v>0</v>
      </c>
      <c r="C687" s="5">
        <f>SUM(GENERAL!I480,GENERAL!M480,GENERAL!Q480,GENERAL!U480)</f>
        <v>0</v>
      </c>
    </row>
    <row r="688" spans="1:3" ht="25.5">
      <c r="A688" s="4">
        <v>198</v>
      </c>
      <c r="B688" s="4" t="str">
        <f>GENERAL!B479</f>
        <v>BRO MORRIS; 0903 350 1577: [Headquarters Usher]; [EVBIOBOGUN SAPELE ROAD, BENIN CITY]</v>
      </c>
      <c r="C688" s="5">
        <f>SUM(GENERAL!I697,GENERAL!M697,GENERAL!Q697,GENERAL!U697)</f>
        <v>0</v>
      </c>
    </row>
    <row r="689" spans="1:3" ht="12.75">
      <c r="A689" s="4">
        <v>198</v>
      </c>
      <c r="B689" s="4">
        <f>GENERAL!B480</f>
        <v>0</v>
      </c>
      <c r="C689" s="5">
        <f>SUM(GENERAL!I482,GENERAL!M482,GENERAL!Q482,GENERAL!U482)</f>
        <v>0</v>
      </c>
    </row>
    <row r="690" spans="1:3" ht="12.75">
      <c r="A690" s="4">
        <v>198</v>
      </c>
      <c r="B690" s="4">
        <f>GENERAL!B481</f>
        <v>0</v>
      </c>
      <c r="C690" s="5">
        <f>SUM(GENERAL!I483,GENERAL!M483,GENERAL!Q483,GENERAL!U483)</f>
        <v>0</v>
      </c>
    </row>
    <row r="691" spans="1:3" ht="25.5">
      <c r="A691" s="4">
        <v>198</v>
      </c>
      <c r="B691" s="4" t="str">
        <f>GENERAL!B482</f>
        <v>BRO DANIEL; 0901 162 8531: [Headquarters Usher]; [EVBIOBOGUN SAPELE ROAD BENIN CITY]</v>
      </c>
      <c r="C691" s="5">
        <f>SUM(GENERAL!I700,GENERAL!M700,GENERAL!Q700,GENERAL!U700)</f>
        <v>0</v>
      </c>
    </row>
    <row r="692" spans="1:3" ht="12.75">
      <c r="A692" s="4">
        <v>198</v>
      </c>
      <c r="B692" s="4">
        <f>GENERAL!B483</f>
        <v>0</v>
      </c>
      <c r="C692" s="5">
        <f>SUM(GENERAL!I485,GENERAL!M485,GENERAL!Q485,GENERAL!U485)</f>
        <v>0</v>
      </c>
    </row>
    <row r="693" spans="1:3" ht="12.75">
      <c r="A693" s="4">
        <v>198</v>
      </c>
      <c r="B693" s="4">
        <f>GENERAL!B484</f>
        <v>0</v>
      </c>
      <c r="C693" s="5">
        <f>SUM(GENERAL!I486,GENERAL!M486,GENERAL!Q486,GENERAL!U486)</f>
        <v>0</v>
      </c>
    </row>
    <row r="694" spans="1:3" ht="25.5">
      <c r="A694" s="4">
        <v>198</v>
      </c>
      <c r="B694" s="4" t="str">
        <f>GENERAL!B485</f>
        <v>BRO BRIGHT; 0805 215 5988: [Headquarters Usher]; [UNITY STREET OFF ERADIAWA / SAPELE ROAD BENIN CITY]</v>
      </c>
      <c r="C694" s="5">
        <f>SUM(GENERAL!I703,GENERAL!M703,GENERAL!Q703,GENERAL!U703)</f>
        <v>0</v>
      </c>
    </row>
    <row r="695" spans="1:3" ht="12.75">
      <c r="A695" s="4">
        <v>198</v>
      </c>
      <c r="B695" s="4">
        <f>GENERAL!B486</f>
        <v>0</v>
      </c>
      <c r="C695" s="5">
        <f>SUM(GENERAL!I488,GENERAL!M488,GENERAL!Q488,GENERAL!U488)</f>
        <v>0</v>
      </c>
    </row>
    <row r="696" spans="1:3" ht="12.75">
      <c r="A696" s="4">
        <v>198</v>
      </c>
      <c r="B696" s="4">
        <f>GENERAL!B487</f>
        <v>0</v>
      </c>
      <c r="C696" s="5">
        <f>SUM(GENERAL!I489,GENERAL!M489,GENERAL!Q489,GENERAL!U489)</f>
        <v>0</v>
      </c>
    </row>
    <row r="697" spans="1:3" ht="25.5">
      <c r="A697" s="4">
        <v>198</v>
      </c>
      <c r="B697" s="4" t="str">
        <f>GENERAL!B488</f>
        <v>BRO SUNDAY; 0906 758 3446: [Headquarters Usher]; [OFF OKHABARE SAPELE ROAD BENIN CITY]</v>
      </c>
      <c r="C697" s="5">
        <f>SUM(GENERAL!I706,GENERAL!M706,GENERAL!Q706,GENERAL!U706)</f>
        <v>0</v>
      </c>
    </row>
    <row r="698" spans="1:3" ht="12.75">
      <c r="A698" s="4">
        <v>198</v>
      </c>
      <c r="B698" s="4">
        <f>GENERAL!B489</f>
        <v>0</v>
      </c>
      <c r="C698" s="5">
        <f>SUM(GENERAL!I491,GENERAL!M491,GENERAL!Q491,GENERAL!U491)</f>
        <v>0</v>
      </c>
    </row>
    <row r="699" spans="1:3" ht="12.75">
      <c r="A699" s="4">
        <v>198</v>
      </c>
      <c r="B699" s="4">
        <f>GENERAL!B490</f>
        <v>0</v>
      </c>
      <c r="C699" s="5">
        <f>SUM(GENERAL!I492,GENERAL!M492,GENERAL!Q492,GENERAL!U492)</f>
        <v>0</v>
      </c>
    </row>
    <row r="700" spans="1:3" ht="25.5">
      <c r="A700" s="4">
        <v>198</v>
      </c>
      <c r="B700" s="4" t="str">
        <f>GENERAL!B491</f>
        <v>BRO SUNNY; 0904 982 9594: [Headquarters Usher]; [ALONG ERADIAWA SAPKONBA ROAD BENIN CITY]</v>
      </c>
      <c r="C700" s="5">
        <f>SUM(GENERAL!I709,GENERAL!M709,GENERAL!Q709,GENERAL!U709)</f>
        <v>0</v>
      </c>
    </row>
    <row r="701" spans="1:3" ht="12.75">
      <c r="A701" s="4">
        <v>198</v>
      </c>
      <c r="B701" s="4">
        <f>GENERAL!B492</f>
        <v>0</v>
      </c>
      <c r="C701" s="5">
        <f>SUM(GENERAL!I494,GENERAL!M494,GENERAL!Q494,GENERAL!U494)</f>
        <v>0</v>
      </c>
    </row>
    <row r="702" spans="1:3" ht="12.75">
      <c r="A702" s="4">
        <v>198</v>
      </c>
      <c r="B702" s="4">
        <f>GENERAL!B493</f>
        <v>0</v>
      </c>
      <c r="C702" s="5">
        <f>SUM(GENERAL!I495,GENERAL!M495,GENERAL!Q495,GENERAL!U495)</f>
        <v>0</v>
      </c>
    </row>
    <row r="703" spans="1:3" ht="25.5">
      <c r="A703" s="4">
        <v>198</v>
      </c>
      <c r="B703" s="4" t="str">
        <f>GENERAL!B494</f>
        <v>BRO GODWIN; 0705 977 6499: [Headquarters Usher]; [UROHO COMMUNITY OFF SAPELE ROAD BYPASS BENIN CITY]</v>
      </c>
      <c r="C703" s="5">
        <f>SUM(GENERAL!I712,GENERAL!M712,GENERAL!Q712,GENERAL!U712)</f>
        <v>0</v>
      </c>
    </row>
    <row r="704" spans="1:3" ht="12.75">
      <c r="A704" s="4">
        <v>198</v>
      </c>
      <c r="B704" s="4">
        <f>GENERAL!B495</f>
        <v>0</v>
      </c>
      <c r="C704" s="5">
        <f>SUM(GENERAL!I497,GENERAL!M497,GENERAL!Q497,GENERAL!U497)</f>
        <v>0</v>
      </c>
    </row>
    <row r="705" spans="1:3" ht="12.75">
      <c r="A705" s="4">
        <v>198</v>
      </c>
      <c r="B705" s="4">
        <f>GENERAL!B496</f>
        <v>0</v>
      </c>
      <c r="C705" s="5">
        <f>SUM(GENERAL!I498,GENERAL!M498,GENERAL!Q498,GENERAL!U498)</f>
        <v>0</v>
      </c>
    </row>
    <row r="706" spans="1:3" ht="25.5">
      <c r="A706" s="4">
        <v>198</v>
      </c>
      <c r="B706" s="4" t="str">
        <f>GENERAL!B497</f>
        <v>BRO GOD'SPOWER; 09011402472: [Headquarters Usher]; [OFF 2ND ERADIAWA LANE, ALONG ERADIAWA SAPELE ROAD, BENIN CITY]</v>
      </c>
      <c r="C706" s="5">
        <f>SUM(GENERAL!I715,GENERAL!M715,GENERAL!Q715,GENERAL!U715)</f>
        <v>0</v>
      </c>
    </row>
    <row r="707" spans="1:3" ht="12.75">
      <c r="A707" s="4">
        <v>198</v>
      </c>
      <c r="B707" s="4">
        <f>GENERAL!B498</f>
        <v>0</v>
      </c>
      <c r="C707" s="5">
        <f>SUM(GENERAL!I500,GENERAL!M500,GENERAL!Q500,GENERAL!U500)</f>
        <v>0</v>
      </c>
    </row>
    <row r="708" spans="1:3" ht="12.75">
      <c r="A708" s="4">
        <v>198</v>
      </c>
      <c r="B708" s="4">
        <f>GENERAL!B499</f>
        <v>0</v>
      </c>
      <c r="C708" s="5">
        <f>SUM(GENERAL!I501,GENERAL!M501,GENERAL!Q501,GENERAL!U501)</f>
        <v>0</v>
      </c>
    </row>
    <row r="709" spans="1:3" ht="25.5">
      <c r="A709" s="4">
        <v>198</v>
      </c>
      <c r="B709" s="4" t="str">
        <f>GENERAL!B500</f>
        <v>SIS MERCY; 0813 669 2754: [Headquarters Usher]; [OFF OMOZEE STREET, ERADIAWA / SAPELE ROAD BENIN CITY]</v>
      </c>
      <c r="C709" s="5">
        <f>SUM(GENERAL!I718,GENERAL!M718,GENERAL!Q718,GENERAL!U718)</f>
        <v>0</v>
      </c>
    </row>
    <row r="710" spans="1:3" ht="12.75">
      <c r="A710" s="4">
        <v>198</v>
      </c>
      <c r="B710" s="4">
        <f>GENERAL!B501</f>
        <v>0</v>
      </c>
      <c r="C710" s="5">
        <f>SUM(GENERAL!I503,GENERAL!M503,GENERAL!Q503,GENERAL!U503)</f>
        <v>0</v>
      </c>
    </row>
    <row r="711" spans="1:3" ht="12.75">
      <c r="A711" s="4">
        <v>198</v>
      </c>
      <c r="B711" s="4">
        <f>GENERAL!B502</f>
        <v>0</v>
      </c>
      <c r="C711" s="5">
        <f>SUM(GENERAL!I504,GENERAL!M504,GENERAL!Q504,GENERAL!U504)</f>
        <v>0</v>
      </c>
    </row>
    <row r="712" spans="1:3" ht="25.5">
      <c r="A712" s="4">
        <v>198</v>
      </c>
      <c r="B712" s="4" t="str">
        <f>GENERAL!B503</f>
        <v>SIS GOD'S LOVE; 09072995858: [Headquarters Usher]; [OFF TONGO, ERADIAWA / SAPKONBA ROAD BENIN CITY]</v>
      </c>
      <c r="C712" s="5">
        <f>SUM(GENERAL!I721,GENERAL!M721,GENERAL!Q721,GENERAL!U721)</f>
        <v>0</v>
      </c>
    </row>
    <row r="713" spans="1:3" ht="12.75">
      <c r="A713" s="4">
        <v>198</v>
      </c>
      <c r="B713" s="4">
        <f>GENERAL!B504</f>
        <v>0</v>
      </c>
      <c r="C713" s="5">
        <f>SUM(GENERAL!I506,GENERAL!M506,GENERAL!Q506,GENERAL!U506)</f>
        <v>0</v>
      </c>
    </row>
    <row r="714" spans="1:3" ht="12.75">
      <c r="A714" s="4">
        <v>198</v>
      </c>
      <c r="B714" s="4">
        <f>GENERAL!B505</f>
        <v>0</v>
      </c>
      <c r="C714" s="5">
        <f>SUM(GENERAL!I507,GENERAL!M507,GENERAL!Q507,GENERAL!U507)</f>
        <v>0</v>
      </c>
    </row>
    <row r="715" spans="1:3" ht="25.5">
      <c r="A715" s="4">
        <v>198</v>
      </c>
      <c r="B715" s="4" t="str">
        <f>GENERAL!B506</f>
        <v>MAMA MUDIA; 0907 197 1344: [Headquarters Usher]; [COUNTRY HOME ROAD, SAPELE ROAD BENIN CITY]</v>
      </c>
      <c r="C715" s="5">
        <f>SUM(GENERAL!I724,GENERAL!M724,GENERAL!Q724,GENERAL!U724)</f>
        <v>0</v>
      </c>
    </row>
    <row r="716" spans="1:3" ht="12.75">
      <c r="A716" s="4">
        <v>198</v>
      </c>
      <c r="B716" s="4">
        <f>GENERAL!B507</f>
        <v>0</v>
      </c>
      <c r="C716" s="5">
        <f>SUM(GENERAL!I509,GENERAL!M509,GENERAL!Q509,GENERAL!U509)</f>
        <v>0</v>
      </c>
    </row>
    <row r="717" spans="1:3" ht="12.75">
      <c r="A717" s="4">
        <v>198</v>
      </c>
      <c r="B717" s="4">
        <f>GENERAL!B508</f>
        <v>0</v>
      </c>
      <c r="C717" s="5">
        <f>SUM(GENERAL!I510,GENERAL!M510,GENERAL!Q510,GENERAL!U510)</f>
        <v>0</v>
      </c>
    </row>
    <row r="718" spans="1:3" ht="25.5">
      <c r="A718" s="4">
        <v>198</v>
      </c>
      <c r="B718" s="4" t="str">
        <f>GENERAL!B509</f>
        <v>IGWE DANIEL; 09069367219: [Headquarters Media]; [ADOLLOR STREET  EVBUABOGUN]</v>
      </c>
      <c r="C718" s="5">
        <f>SUM(GENERAL!I727,GENERAL!M727,GENERAL!Q727,GENERAL!U727)</f>
        <v>0</v>
      </c>
    </row>
    <row r="719" spans="1:3" ht="12.75">
      <c r="A719" s="4">
        <v>198</v>
      </c>
      <c r="B719" s="4">
        <f>GENERAL!B510</f>
        <v>0</v>
      </c>
      <c r="C719" s="5">
        <f>SUM(GENERAL!I512,GENERAL!M512,GENERAL!Q512,GENERAL!U512)</f>
        <v>0</v>
      </c>
    </row>
    <row r="720" spans="1:3" ht="12.75">
      <c r="A720" s="4">
        <v>198</v>
      </c>
      <c r="B720" s="4">
        <f>GENERAL!B511</f>
        <v>0</v>
      </c>
      <c r="C720" s="5">
        <f>SUM(GENERAL!I513,GENERAL!M513,GENERAL!Q513,GENERAL!U513)</f>
        <v>0</v>
      </c>
    </row>
    <row r="721" spans="1:3" ht="12.75">
      <c r="A721" s="4">
        <v>198</v>
      </c>
      <c r="B721" s="4" t="str">
        <f>GENERAL!B512</f>
        <v>ATESO AIGBEDION; 09069000699: [Headquarters Media]; [EVBUABOGUN]</v>
      </c>
      <c r="C721" s="5">
        <f>SUM(GENERAL!I730,GENERAL!M730,GENERAL!Q730,GENERAL!U730)</f>
        <v>0</v>
      </c>
    </row>
    <row r="722" spans="1:3" ht="12.75">
      <c r="A722" s="4">
        <v>198</v>
      </c>
      <c r="B722" s="4">
        <f>GENERAL!B513</f>
        <v>0</v>
      </c>
      <c r="C722" s="5">
        <f>SUM(GENERAL!I515,GENERAL!M515,GENERAL!Q515,GENERAL!U515)</f>
        <v>0</v>
      </c>
    </row>
    <row r="723" spans="1:3" ht="12.75">
      <c r="A723" s="4">
        <v>198</v>
      </c>
      <c r="B723" s="4">
        <f>GENERAL!B514</f>
        <v>0</v>
      </c>
      <c r="C723" s="5">
        <f>SUM(GENERAL!I516,GENERAL!M516,GENERAL!Q516,GENERAL!U516)</f>
        <v>0</v>
      </c>
    </row>
    <row r="724" spans="1:3" ht="25.5">
      <c r="A724" s="4">
        <v>198</v>
      </c>
      <c r="B724" s="4" t="str">
        <f>GENERAL!B515</f>
        <v>IGWE SUNDAY EJIKE; 09034210872: [Headquarters Media]; [Youth of Power and Glory]</v>
      </c>
      <c r="C724" s="5">
        <f>SUM(GENERAL!I733,GENERAL!M733,GENERAL!Q733,GENERAL!U733)</f>
        <v>0</v>
      </c>
    </row>
    <row r="725" spans="1:3" ht="12.75">
      <c r="A725" s="4">
        <v>198</v>
      </c>
      <c r="B725" s="4">
        <f>GENERAL!B516</f>
        <v>0</v>
      </c>
      <c r="C725" s="5">
        <f>SUM(GENERAL!I518,GENERAL!M518,GENERAL!Q518,GENERAL!U518)</f>
        <v>0</v>
      </c>
    </row>
    <row r="726" spans="1:3" ht="12.75">
      <c r="A726" s="4">
        <v>198</v>
      </c>
      <c r="B726" s="4">
        <f>GENERAL!B517</f>
        <v>0</v>
      </c>
      <c r="C726" s="5">
        <f>SUM(GENERAL!I519,GENERAL!M519,GENERAL!Q519,GENERAL!U519)</f>
        <v>0</v>
      </c>
    </row>
    <row r="727" spans="1:3" ht="25.5">
      <c r="A727" s="4">
        <v>198</v>
      </c>
      <c r="B727" s="4" t="str">
        <f>GENERAL!B518</f>
        <v>MOSES EMMANUEL; 09163371049: [Headquarters Media]; [NO 5 UGIAGBE STREET OFF EREDIAUWA, SAPELE ROAD]</v>
      </c>
      <c r="C727" s="5">
        <f>SUM(GENERAL!I736,GENERAL!M736,GENERAL!Q736,GENERAL!U736)</f>
        <v>0</v>
      </c>
    </row>
    <row r="728" spans="1:3" ht="12.75">
      <c r="A728" s="4">
        <v>198</v>
      </c>
      <c r="B728" s="4">
        <f>GENERAL!B519</f>
        <v>0</v>
      </c>
      <c r="C728" s="5">
        <f>SUM(GENERAL!I521,GENERAL!M521,GENERAL!Q521,GENERAL!U521)</f>
        <v>0</v>
      </c>
    </row>
    <row r="729" spans="1:3" ht="12.75">
      <c r="A729" s="4">
        <v>198</v>
      </c>
      <c r="B729" s="4">
        <f>GENERAL!B520</f>
        <v>0</v>
      </c>
      <c r="C729" s="5">
        <f>SUM(GENERAL!I522,GENERAL!M522,GENERAL!Q522,GENERAL!U522)</f>
        <v>0</v>
      </c>
    </row>
    <row r="730" spans="1:3" ht="12.75">
      <c r="A730" s="4">
        <v>198</v>
      </c>
      <c r="B730" s="4" t="str">
        <f>GENERAL!B521</f>
        <v>BRO LUCKY; 09060597582: [Headquarters Media]; [address]</v>
      </c>
      <c r="C730" s="5">
        <f>SUM(GENERAL!I739,GENERAL!M739,GENERAL!Q739,GENERAL!U739)</f>
        <v>0</v>
      </c>
    </row>
    <row r="731" spans="1:3" ht="12.75">
      <c r="A731" s="4">
        <v>198</v>
      </c>
      <c r="B731" s="4">
        <f>GENERAL!B522</f>
        <v>0</v>
      </c>
      <c r="C731" s="5">
        <f>SUM(GENERAL!I524,GENERAL!M524,GENERAL!Q524,GENERAL!U524)</f>
        <v>0</v>
      </c>
    </row>
    <row r="732" spans="1:3" ht="12.75">
      <c r="A732" s="4">
        <v>198</v>
      </c>
      <c r="B732" s="4">
        <f>GENERAL!B523</f>
        <v>0</v>
      </c>
      <c r="C732" s="5">
        <f>SUM(GENERAL!I525,GENERAL!M525,GENERAL!Q525,GENERAL!U525)</f>
        <v>0</v>
      </c>
    </row>
    <row r="733" spans="1:3" ht="12.75">
      <c r="A733" s="4">
        <v>198</v>
      </c>
      <c r="B733" s="4" t="str">
        <f>GENERAL!B533</f>
        <v>MRS. ELO: [Headquarters Security]; [Address]</v>
      </c>
      <c r="C733" s="5">
        <f>SUM(GENERAL!I742,GENERAL!M742,GENERAL!Q742,GENERAL!U742)</f>
        <v>0</v>
      </c>
    </row>
    <row r="734" spans="1:3" ht="12.75">
      <c r="A734" s="4">
        <v>198</v>
      </c>
      <c r="B734" s="4">
        <f>GENERAL!B534</f>
        <v>0</v>
      </c>
      <c r="C734" s="5">
        <f>SUM(GENERAL!I536,GENERAL!M536,GENERAL!Q536,GENERAL!U536)</f>
        <v>0</v>
      </c>
    </row>
    <row r="735" spans="1:3" ht="12.75">
      <c r="A735" s="4">
        <v>198</v>
      </c>
      <c r="B735" s="4">
        <f>GENERAL!B535</f>
        <v>0</v>
      </c>
      <c r="C735" s="5">
        <f>SUM(GENERAL!I537,GENERAL!M537,GENERAL!Q537,GENERAL!U537)</f>
        <v>0</v>
      </c>
    </row>
    <row r="736" spans="1:3" ht="12.75">
      <c r="A736" s="4">
        <v>198</v>
      </c>
      <c r="B736" s="4" t="str">
        <f>GENERAL!B536</f>
        <v>BROTHER BEN: [Headquarters Security]; [Address]</v>
      </c>
      <c r="C736" s="5">
        <f>SUM(GENERAL!I745,GENERAL!M745,GENERAL!Q745,GENERAL!U745)</f>
        <v>0</v>
      </c>
    </row>
    <row r="737" spans="1:3" ht="12.75">
      <c r="A737" s="4">
        <v>198</v>
      </c>
      <c r="B737" s="4">
        <f>GENERAL!B537</f>
        <v>0</v>
      </c>
      <c r="C737" s="5">
        <f>SUM(GENERAL!I539,GENERAL!M539,GENERAL!Q539,GENERAL!U539)</f>
        <v>0</v>
      </c>
    </row>
    <row r="738" spans="1:3" ht="12.75">
      <c r="A738" s="4">
        <v>198</v>
      </c>
      <c r="B738" s="4">
        <f>GENERAL!B538</f>
        <v>0</v>
      </c>
      <c r="C738" s="5">
        <f>SUM(GENERAL!I540,GENERAL!M540,GENERAL!Q540,GENERAL!U540)</f>
        <v>0</v>
      </c>
    </row>
    <row r="739" spans="1:3" ht="12.75">
      <c r="A739" s="4">
        <v>198</v>
      </c>
      <c r="B739" s="4" t="str">
        <f>GENERAL!B539</f>
        <v>MIN VICTOR; 0810507062: [Headquarters Prayer]; [Address]</v>
      </c>
      <c r="C739" s="5">
        <f>SUM(GENERAL!I748,GENERAL!M748,GENERAL!Q748,GENERAL!U748)</f>
        <v>0</v>
      </c>
    </row>
    <row r="740" spans="1:3" ht="12.75">
      <c r="A740" s="4">
        <v>198</v>
      </c>
      <c r="B740" s="4">
        <f>GENERAL!B540</f>
        <v>0</v>
      </c>
      <c r="C740" s="5">
        <f>SUM(GENERAL!I542,GENERAL!M542,GENERAL!Q542,GENERAL!U542)</f>
        <v>0</v>
      </c>
    </row>
    <row r="741" spans="1:3" ht="12.75">
      <c r="A741" s="4">
        <v>198</v>
      </c>
      <c r="B741" s="4">
        <f>GENERAL!B541</f>
        <v>0</v>
      </c>
      <c r="C741" s="5">
        <f>SUM(GENERAL!I543,GENERAL!M543,GENERAL!Q543,GENERAL!U543)</f>
        <v>0</v>
      </c>
    </row>
    <row r="742" spans="1:3" ht="12.75">
      <c r="A742" s="4">
        <v>198</v>
      </c>
      <c r="B742" s="4" t="str">
        <f>GENERAL!B542</f>
        <v>MIN BRIGHT; 08052155988: [Headquarters Prayer]; [Address]</v>
      </c>
      <c r="C742" s="5">
        <f>SUM(GENERAL!I751,GENERAL!M751,GENERAL!Q751,GENERAL!U751)</f>
        <v>0</v>
      </c>
    </row>
    <row r="743" spans="1:3" ht="12.75">
      <c r="A743" s="4">
        <v>198</v>
      </c>
      <c r="B743" s="4">
        <f>GENERAL!B543</f>
        <v>0</v>
      </c>
      <c r="C743" s="5">
        <f>SUM(GENERAL!I768,GENERAL!M768,GENERAL!Q768,GENERAL!U768)</f>
        <v>0</v>
      </c>
    </row>
    <row r="744" spans="1:3" ht="12.75">
      <c r="A744" s="4">
        <v>198</v>
      </c>
      <c r="B744" s="4">
        <f>GENERAL!B544</f>
        <v>0</v>
      </c>
      <c r="C744" s="5">
        <f>SUM(GENERAL!I546,GENERAL!M546,GENERAL!Q546,GENERAL!U546)</f>
        <v>0</v>
      </c>
    </row>
    <row r="745" spans="1:3" ht="12.75">
      <c r="A745" s="4">
        <v>198</v>
      </c>
      <c r="B745" s="4" t="str">
        <f>GENERAL!B545</f>
        <v>SIS JESSICA: [Headquarters Prayer]; [Address]</v>
      </c>
      <c r="C745" s="5">
        <f>SUM(GENERAL!I754,GENERAL!M754,GENERAL!Q754,GENERAL!U754)</f>
        <v>0</v>
      </c>
    </row>
    <row r="746" spans="1:3" ht="12.75">
      <c r="A746" s="4">
        <v>198</v>
      </c>
      <c r="B746" s="4">
        <f>GENERAL!B546</f>
        <v>0</v>
      </c>
      <c r="C746" s="5">
        <f>SUM(GENERAL!I548,GENERAL!M548,GENERAL!Q548,GENERAL!U548)</f>
        <v>0</v>
      </c>
    </row>
    <row r="747" spans="1:3" ht="12.75">
      <c r="A747" s="4">
        <v>198</v>
      </c>
      <c r="B747" s="4">
        <f>GENERAL!B547</f>
        <v>0</v>
      </c>
      <c r="C747" s="5">
        <f>SUM(GENERAL!I549,GENERAL!M549,GENERAL!Q549,GENERAL!U549)</f>
        <v>0</v>
      </c>
    </row>
    <row r="748" spans="1:3" ht="12.75">
      <c r="A748" s="4">
        <v>198</v>
      </c>
      <c r="B748" s="4" t="str">
        <f>GENERAL!B548</f>
        <v>BRO BENARD: [Headquarters Prayer]; [Address]</v>
      </c>
      <c r="C748" s="5">
        <f>SUM(GENERAL!I757,GENERAL!M757,GENERAL!Q757,GENERAL!U757)</f>
        <v>0</v>
      </c>
    </row>
    <row r="749" spans="1:3" ht="12.75">
      <c r="A749" s="4">
        <v>198</v>
      </c>
      <c r="B749" s="4">
        <f>GENERAL!B549</f>
        <v>0</v>
      </c>
      <c r="C749" s="5">
        <f>SUM(GENERAL!I551,GENERAL!M551,GENERAL!Q551,GENERAL!U551)</f>
        <v>0</v>
      </c>
    </row>
    <row r="750" spans="1:3" ht="12.75">
      <c r="A750" s="4">
        <v>198</v>
      </c>
      <c r="B750" s="4">
        <f>GENERAL!B550</f>
        <v>0</v>
      </c>
      <c r="C750" s="5">
        <f>SUM(GENERAL!I552,GENERAL!M552,GENERAL!Q552,GENERAL!U552)</f>
        <v>0</v>
      </c>
    </row>
    <row r="751" spans="1:3" ht="12.75">
      <c r="A751" s="4">
        <v>198</v>
      </c>
      <c r="B751" s="4" t="str">
        <f>GENERAL!B551</f>
        <v>BRO GABRIEL: [Headquarters Prayer]; [Address]</v>
      </c>
      <c r="C751" s="5">
        <f>SUM(GENERAL!I760,GENERAL!M760,GENERAL!Q760,GENERAL!U760)</f>
        <v>0</v>
      </c>
    </row>
    <row r="752" spans="1:3" ht="12.75">
      <c r="A752" s="4">
        <v>198</v>
      </c>
      <c r="B752" s="4">
        <f>GENERAL!B552</f>
        <v>0</v>
      </c>
      <c r="C752" s="5">
        <f>SUM(GENERAL!I554,GENERAL!M554,GENERAL!Q554,GENERAL!U554)</f>
        <v>0</v>
      </c>
    </row>
    <row r="753" spans="1:3" ht="12.75">
      <c r="A753" s="4">
        <v>198</v>
      </c>
      <c r="B753" s="4">
        <f>GENERAL!B553</f>
        <v>0</v>
      </c>
      <c r="C753" s="5">
        <f>SUM(GENERAL!I555,GENERAL!M555,GENERAL!Q555,GENERAL!U555)</f>
        <v>0</v>
      </c>
    </row>
    <row r="754" spans="1:3" ht="12.75">
      <c r="A754" s="4">
        <v>198</v>
      </c>
      <c r="B754" s="4" t="str">
        <f>GENERAL!B554</f>
        <v>BRO OSAGIE: [Headquarters Prayer]; [Address]</v>
      </c>
      <c r="C754" s="5">
        <f>SUM(GENERAL!I763,GENERAL!M763,GENERAL!Q763,GENERAL!U763)</f>
        <v>0</v>
      </c>
    </row>
    <row r="755" spans="1:3" ht="12.75">
      <c r="A755" s="4">
        <v>198</v>
      </c>
      <c r="B755" s="4">
        <f>GENERAL!B555</f>
        <v>0</v>
      </c>
      <c r="C755" s="5">
        <f>SUM(GENERAL!I557,GENERAL!M557,GENERAL!Q557,GENERAL!U557)</f>
        <v>0</v>
      </c>
    </row>
    <row r="756" spans="1:3" ht="12.75">
      <c r="A756" s="4">
        <v>198</v>
      </c>
      <c r="B756" s="4">
        <f>GENERAL!B556</f>
        <v>0</v>
      </c>
      <c r="C756" s="5">
        <f>SUM(GENERAL!I558,GENERAL!M558,GENERAL!Q558,GENERAL!U558)</f>
        <v>0</v>
      </c>
    </row>
    <row r="757" spans="1:3" ht="12.75">
      <c r="A757" s="4">
        <v>198</v>
      </c>
      <c r="B757" s="4" t="str">
        <f>GENERAL!B557</f>
        <v>MIN VICTOR; 0810507062: [Headquarters Godly Action]; [Address]</v>
      </c>
      <c r="C757" s="5">
        <f>SUM(GENERAL!I766,GENERAL!M766,GENERAL!Q766,GENERAL!U766)</f>
        <v>0</v>
      </c>
    </row>
    <row r="758" spans="1:3" ht="12.75">
      <c r="A758" s="4">
        <v>198</v>
      </c>
      <c r="B758" s="4">
        <f>GENERAL!B558</f>
        <v>0</v>
      </c>
      <c r="C758" s="5">
        <f>SUM(GENERAL!I560,GENERAL!M560,GENERAL!Q560,GENERAL!U560)</f>
        <v>0</v>
      </c>
    </row>
    <row r="759" spans="1:3" ht="12.75">
      <c r="A759" s="4">
        <v>198</v>
      </c>
      <c r="B759" s="4">
        <f>GENERAL!B559</f>
        <v>0</v>
      </c>
      <c r="C759" s="5">
        <f>SUM(GENERAL!I561,GENERAL!M561,GENERAL!Q561,GENERAL!U561)</f>
        <v>0</v>
      </c>
    </row>
    <row r="760" spans="1:3" ht="12.75">
      <c r="A760" s="4">
        <v>198</v>
      </c>
      <c r="B760" s="4" t="str">
        <f>GENERAL!B560</f>
        <v>MIN BRIGHT; 08052155988: [Headquarters Godly Action]; [Address]</v>
      </c>
      <c r="C760" s="5">
        <f>SUM(GENERAL!I769,GENERAL!M769,GENERAL!Q769,GENERAL!U769)</f>
        <v>0</v>
      </c>
    </row>
    <row r="761" spans="1:3" ht="12.75">
      <c r="A761" s="4">
        <v>198</v>
      </c>
      <c r="B761" s="4">
        <f>GENERAL!B561</f>
        <v>0</v>
      </c>
      <c r="C761" s="5">
        <f>SUM(GENERAL!I563,GENERAL!M563,GENERAL!Q563,GENERAL!U563)</f>
        <v>0</v>
      </c>
    </row>
    <row r="762" spans="1:3" ht="12.75">
      <c r="A762" s="4">
        <v>198</v>
      </c>
      <c r="B762" s="4">
        <f>GENERAL!B562</f>
        <v>0</v>
      </c>
      <c r="C762" s="5">
        <f>SUM(GENERAL!I564,GENERAL!M564,GENERAL!Q564,GENERAL!U564)</f>
        <v>0</v>
      </c>
    </row>
    <row r="763" spans="1:3" ht="12.75">
      <c r="A763" s="4">
        <v>198</v>
      </c>
      <c r="B763" s="4" t="str">
        <f>GENERAL!B563</f>
        <v>BRO LUCKY; 08116110454: [Headquarters Godly Action]; [Address]</v>
      </c>
      <c r="C763" s="5">
        <f>SUM(GENERAL!I772,GENERAL!M772,GENERAL!Q772,GENERAL!U772)</f>
        <v>0</v>
      </c>
    </row>
    <row r="764" spans="1:3" ht="12.75">
      <c r="A764" s="4">
        <v>198</v>
      </c>
      <c r="B764" s="4">
        <f>GENERAL!B564</f>
        <v>0</v>
      </c>
      <c r="C764" s="5">
        <f>SUM(GENERAL!I566,GENERAL!M566,GENERAL!Q566,GENERAL!U566)</f>
        <v>0</v>
      </c>
    </row>
    <row r="765" spans="1:3" ht="12.75">
      <c r="A765" s="4">
        <v>198</v>
      </c>
      <c r="B765" s="4">
        <f>GENERAL!B565</f>
        <v>0</v>
      </c>
      <c r="C765" s="5">
        <f>SUM(GENERAL!I567,GENERAL!M567,GENERAL!Q567,GENERAL!U567)</f>
        <v>0</v>
      </c>
    </row>
    <row r="766" spans="1:3" ht="12.75">
      <c r="A766" s="4">
        <v>198</v>
      </c>
      <c r="B766" s="4" t="str">
        <f>GENERAL!B566</f>
        <v>BRO MORRIS; 08071978244: [Headquarters Godly Action]; [Address]</v>
      </c>
      <c r="C766" s="5">
        <f>SUM(GENERAL!I775,GENERAL!M775,GENERAL!Q775,GENERAL!U775)</f>
        <v>0</v>
      </c>
    </row>
    <row r="767" spans="1:3" ht="12.75">
      <c r="A767" s="4">
        <v>198</v>
      </c>
      <c r="B767" s="4">
        <f>GENERAL!B567</f>
        <v>0</v>
      </c>
      <c r="C767" s="5">
        <f>SUM(GENERAL!I569,GENERAL!M569,GENERAL!Q569,GENERAL!U569)</f>
        <v>0</v>
      </c>
    </row>
    <row r="768" spans="1:3" ht="12.75">
      <c r="A768" s="4">
        <v>198</v>
      </c>
      <c r="B768" s="4">
        <f>GENERAL!B568</f>
        <v>0</v>
      </c>
      <c r="C768" s="5">
        <f>SUM(GENERAL!I570,GENERAL!M570,GENERAL!Q570,GENERAL!U570)</f>
        <v>0</v>
      </c>
    </row>
    <row r="769" spans="1:3" ht="12.75">
      <c r="A769" s="4">
        <v>198</v>
      </c>
      <c r="B769" s="4" t="str">
        <f>GENERAL!B569</f>
        <v>BRO GOD'S POWER; 09011402427: [Headquarters Godly Action]; [Address]</v>
      </c>
      <c r="C769" s="5">
        <f>SUM(GENERAL!I778,GENERAL!M778,GENERAL!Q778,GENERAL!U778)</f>
        <v>0</v>
      </c>
    </row>
    <row r="770" spans="1:3" ht="12.75">
      <c r="A770" s="4">
        <v>198</v>
      </c>
      <c r="B770" s="4">
        <f>GENERAL!B570</f>
        <v>0</v>
      </c>
      <c r="C770" s="5">
        <f>SUM(GENERAL!I572,GENERAL!M572,GENERAL!Q572,GENERAL!U572)</f>
        <v>0</v>
      </c>
    </row>
    <row r="771" spans="1:3" ht="12.75">
      <c r="A771" s="4">
        <v>198</v>
      </c>
      <c r="B771" s="4">
        <f>GENERAL!B571</f>
        <v>0</v>
      </c>
      <c r="C771" s="5">
        <f>SUM(GENERAL!I573,GENERAL!M573,GENERAL!Q573,GENERAL!U573)</f>
        <v>0</v>
      </c>
    </row>
    <row r="772" spans="1:3" ht="12.75">
      <c r="A772" s="4">
        <v>198</v>
      </c>
      <c r="B772" s="4" t="str">
        <f>GENERAL!B572</f>
        <v>BRO VICTORY; 0911295701: [Headquarters Godly Action]; [Address]</v>
      </c>
      <c r="C772" s="5">
        <f>SUM(GENERAL!I781,GENERAL!M781,GENERAL!Q781,GENERAL!U781)</f>
        <v>0</v>
      </c>
    </row>
    <row r="773" spans="1:3" ht="12.75">
      <c r="A773" s="4">
        <v>198</v>
      </c>
      <c r="B773" s="4">
        <f>GENERAL!B573</f>
        <v>0</v>
      </c>
      <c r="C773" s="5">
        <f>SUM(GENERAL!I575,GENERAL!M575,GENERAL!Q575,GENERAL!U575)</f>
        <v>0</v>
      </c>
    </row>
    <row r="774" spans="1:3" ht="12.75">
      <c r="A774" s="4">
        <v>198</v>
      </c>
      <c r="B774" s="4">
        <f>GENERAL!B574</f>
        <v>0</v>
      </c>
      <c r="C774" s="5">
        <f>SUM(GENERAL!I576,GENERAL!M576,GENERAL!Q576,GENERAL!U576)</f>
        <v>0</v>
      </c>
    </row>
    <row r="775" spans="1:3" ht="12.75">
      <c r="A775" s="4">
        <v>198</v>
      </c>
      <c r="B775" s="4" t="str">
        <f>GENERAL!B578</f>
        <v>SIS FAVOUR; 09156464691: [Headquarters Godly Action]; [Address]</v>
      </c>
      <c r="C775" s="5">
        <f>SUM(GENERAL!I784,GENERAL!M784,GENERAL!Q784,GENERAL!U784)</f>
        <v>0</v>
      </c>
    </row>
    <row r="776" spans="1:3" ht="12.75">
      <c r="A776" s="4">
        <v>198</v>
      </c>
      <c r="B776" s="4">
        <f>GENERAL!B579</f>
        <v>0</v>
      </c>
      <c r="C776" s="5">
        <f>SUM(GENERAL!I581,GENERAL!M581,GENERAL!Q581,GENERAL!U581)</f>
        <v>0</v>
      </c>
    </row>
    <row r="777" spans="1:3" ht="12.75">
      <c r="A777" s="4">
        <v>198</v>
      </c>
      <c r="B777" s="4">
        <f>GENERAL!B580</f>
        <v>0</v>
      </c>
      <c r="C777" s="5">
        <f>SUM(GENERAL!I582,GENERAL!M582,GENERAL!Q582,GENERAL!U582)</f>
        <v>0</v>
      </c>
    </row>
    <row r="778" spans="1:3" ht="12.75">
      <c r="A778" s="4">
        <v>198</v>
      </c>
      <c r="B778" s="4" t="str">
        <f>GENERAL!B581</f>
        <v>SIS GRACE; 09032441393: [Headquarters Godly Action]; [Address]</v>
      </c>
      <c r="C778" s="5">
        <f>SUM(GENERAL!I787,GENERAL!M787,GENERAL!Q787,GENERAL!U787)</f>
        <v>0</v>
      </c>
    </row>
    <row r="779" spans="1:3" ht="12.75">
      <c r="A779" s="4">
        <v>198</v>
      </c>
      <c r="B779" s="4">
        <f>GENERAL!B582</f>
        <v>0</v>
      </c>
      <c r="C779" s="5">
        <f>SUM(GENERAL!I584,GENERAL!M584,GENERAL!Q584,GENERAL!U584)</f>
        <v>0</v>
      </c>
    </row>
    <row r="780" spans="1:3" ht="12.75">
      <c r="A780" s="4">
        <v>198</v>
      </c>
      <c r="B780" s="4">
        <f>GENERAL!B583</f>
        <v>0</v>
      </c>
      <c r="C780" s="5">
        <f>SUM(GENERAL!I585,GENERAL!M585,GENERAL!Q585,GENERAL!U585)</f>
        <v>0</v>
      </c>
    </row>
    <row r="781" spans="1:3" ht="12.75">
      <c r="A781" s="4">
        <v>198</v>
      </c>
      <c r="B781" s="4" t="str">
        <f>GENERAL!B587</f>
        <v>BRO DAN; 09069367216: [Headquarters Godly Action]; [Address]</v>
      </c>
      <c r="C781" s="5">
        <f>SUM(GENERAL!I793,GENERAL!M793,GENERAL!Q793,GENERAL!U793)</f>
        <v>0</v>
      </c>
    </row>
    <row r="782" spans="1:3" ht="12.75">
      <c r="A782" s="4">
        <v>198</v>
      </c>
      <c r="B782" s="4">
        <f>GENERAL!B588</f>
        <v>0</v>
      </c>
      <c r="C782" s="5">
        <f>SUM(GENERAL!I590,GENERAL!M590,GENERAL!Q590,GENERAL!U590)</f>
        <v>0</v>
      </c>
    </row>
    <row r="783" spans="1:3" ht="12.75">
      <c r="A783" s="4">
        <v>198</v>
      </c>
      <c r="B783" s="4">
        <f>GENERAL!B589</f>
        <v>0</v>
      </c>
      <c r="C783" s="5">
        <f>SUM(GENERAL!I591,GENERAL!M591,GENERAL!Q591,GENERAL!U591)</f>
        <v>0</v>
      </c>
    </row>
    <row r="784" spans="1:3" ht="12.75">
      <c r="A784" s="4">
        <v>198</v>
      </c>
      <c r="B784" s="4" t="str">
        <f>GENERAL!B590</f>
        <v>SIS COURAGE; 09052268276: [Headquarters Godly Action]; [Address]</v>
      </c>
      <c r="C784" s="5">
        <f>SUM(GENERAL!I796,GENERAL!M796,GENERAL!Q796,GENERAL!U796)</f>
        <v>0</v>
      </c>
    </row>
    <row r="785" spans="1:3" ht="12.75">
      <c r="A785" s="4">
        <v>198</v>
      </c>
      <c r="B785" s="4">
        <f>GENERAL!B591</f>
        <v>0</v>
      </c>
      <c r="C785" s="5">
        <f>SUM(GENERAL!I593,GENERAL!M593,GENERAL!Q593,GENERAL!U593)</f>
        <v>0</v>
      </c>
    </row>
    <row r="786" spans="1:3" ht="12.75">
      <c r="A786" s="4">
        <v>198</v>
      </c>
      <c r="B786" s="4">
        <f>GENERAL!B592</f>
        <v>0</v>
      </c>
      <c r="C786" s="5">
        <f>SUM(GENERAL!I594,GENERAL!M594,GENERAL!Q594,GENERAL!U594)</f>
        <v>0</v>
      </c>
    </row>
    <row r="787" spans="1:3" ht="12.75">
      <c r="A787" s="4">
        <v>198</v>
      </c>
      <c r="B787" s="4" t="str">
        <f>GENERAL!B593</f>
        <v>BRO MARVELOUS; 09011816906: [Headquarters Godly Action]; [Address]</v>
      </c>
      <c r="C787" s="5">
        <f>SUM(GENERAL!I799,GENERAL!M799,GENERAL!Q799,GENERAL!U799)</f>
        <v>0</v>
      </c>
    </row>
    <row r="788" spans="1:3" ht="12.75">
      <c r="A788" s="4">
        <v>198</v>
      </c>
      <c r="B788" s="4">
        <f>GENERAL!B594</f>
        <v>0</v>
      </c>
      <c r="C788" s="5">
        <f>SUM(GENERAL!I596,GENERAL!M596,GENERAL!Q596,GENERAL!U596)</f>
        <v>0</v>
      </c>
    </row>
    <row r="789" spans="1:3" ht="12.75">
      <c r="A789" s="4">
        <v>198</v>
      </c>
      <c r="B789" s="4">
        <f>GENERAL!B595</f>
        <v>0</v>
      </c>
      <c r="C789" s="5">
        <f>SUM(GENERAL!I597,GENERAL!M597,GENERAL!Q597,GENERAL!U597)</f>
        <v>0</v>
      </c>
    </row>
    <row r="790" spans="1:3" ht="12.75">
      <c r="A790" s="4">
        <v>198</v>
      </c>
      <c r="B790" s="4" t="str">
        <f>GENERAL!B596</f>
        <v>BRO OSA-GREAT; 07010707729: [Headquarters Godly Action]; [Address]</v>
      </c>
      <c r="C790" s="5">
        <f>SUM(GENERAL!I802,GENERAL!M802,GENERAL!Q802,GENERAL!U802)</f>
        <v>0</v>
      </c>
    </row>
    <row r="791" spans="1:3" ht="12.75">
      <c r="A791" s="4">
        <v>198</v>
      </c>
      <c r="B791" s="4">
        <f>GENERAL!B597</f>
        <v>0</v>
      </c>
      <c r="C791" s="5">
        <f>SUM(GENERAL!I599,GENERAL!M599,GENERAL!Q599,GENERAL!U599)</f>
        <v>0</v>
      </c>
    </row>
    <row r="792" spans="1:3" ht="12.75">
      <c r="A792" s="4">
        <v>198</v>
      </c>
      <c r="B792" s="4">
        <f>GENERAL!B598</f>
        <v>0</v>
      </c>
      <c r="C792" s="5">
        <f>SUM(GENERAL!I600,GENERAL!M600,GENERAL!Q600,GENERAL!U600)</f>
        <v>0</v>
      </c>
    </row>
    <row r="793" spans="1:3" ht="12.75">
      <c r="A793" s="4">
        <v>198</v>
      </c>
      <c r="B793" s="4" t="str">
        <f>GENERAL!B599</f>
        <v>BRO OSA-WEALTH; 08023656579: [Headquarters Godly Action]; [Address]</v>
      </c>
      <c r="C793" s="5">
        <f>SUM(GENERAL!I805,GENERAL!M805,GENERAL!Q805,GENERAL!U805)</f>
        <v>0</v>
      </c>
    </row>
    <row r="794" spans="1:3" ht="12.75">
      <c r="A794" s="4">
        <v>198</v>
      </c>
      <c r="B794" s="4">
        <f>GENERAL!B600</f>
        <v>0</v>
      </c>
      <c r="C794" s="5">
        <f>SUM(GENERAL!I602,GENERAL!M602,GENERAL!Q602,GENERAL!U602)</f>
        <v>0</v>
      </c>
    </row>
    <row r="795" spans="1:3" ht="12.75">
      <c r="A795" s="4">
        <v>198</v>
      </c>
      <c r="B795" s="4">
        <f>GENERAL!B601</f>
        <v>0</v>
      </c>
      <c r="C795" s="5">
        <f>SUM(GENERAL!I603,GENERAL!M603,GENERAL!Q603,GENERAL!U603)</f>
        <v>0</v>
      </c>
    </row>
    <row r="796" spans="1:3" ht="12.75">
      <c r="A796" s="4">
        <v>198</v>
      </c>
      <c r="B796" s="4" t="str">
        <f>GENERAL!B602</f>
        <v>SIS OSA-LIGHT: [Headquarters Godly Action]; [Address]</v>
      </c>
      <c r="C796" s="5">
        <f>SUM(GENERAL!I808,GENERAL!M808,GENERAL!Q808,GENERAL!U808)</f>
        <v>0</v>
      </c>
    </row>
    <row r="797" spans="1:3" ht="12.75">
      <c r="A797" s="4">
        <v>198</v>
      </c>
      <c r="B797" s="4">
        <f>GENERAL!B603</f>
        <v>0</v>
      </c>
      <c r="C797" s="5">
        <f>SUM(GENERAL!I605,GENERAL!M605,GENERAL!Q605,GENERAL!U605)</f>
        <v>0</v>
      </c>
    </row>
    <row r="798" spans="1:3" ht="12.75">
      <c r="A798" s="4">
        <v>198</v>
      </c>
      <c r="B798" s="4">
        <f>GENERAL!B604</f>
        <v>0</v>
      </c>
      <c r="C798" s="5">
        <f>SUM(GENERAL!I606,GENERAL!M606,GENERAL!Q606,GENERAL!U606)</f>
        <v>0</v>
      </c>
    </row>
    <row r="799" spans="1:3" ht="12.75">
      <c r="A799" s="4">
        <v>198</v>
      </c>
      <c r="B799" s="4" t="str">
        <f>GENERAL!B605</f>
        <v>SIS DARA, 09069367216: [Headquarters Godly Action]; [Address]</v>
      </c>
      <c r="C799" s="5">
        <f>SUM(GENERAL!I811,GENERAL!M811,GENERAL!Q811,GENERAL!U811)</f>
        <v>0</v>
      </c>
    </row>
    <row r="800" spans="1:3" ht="12.75">
      <c r="A800" s="4">
        <v>198</v>
      </c>
      <c r="B800" s="4">
        <f>GENERAL!B606</f>
        <v>0</v>
      </c>
      <c r="C800" s="5">
        <f>SUM(GENERAL!I608,GENERAL!M608,GENERAL!Q608,GENERAL!U608)</f>
        <v>0</v>
      </c>
    </row>
    <row r="801" spans="1:3" ht="12.75">
      <c r="A801" s="4">
        <v>198</v>
      </c>
      <c r="B801" s="4">
        <f>GENERAL!B607</f>
        <v>0</v>
      </c>
      <c r="C801" s="5">
        <f>SUM(GENERAL!I609,GENERAL!M609,GENERAL!Q609,GENERAL!U609)</f>
        <v>0</v>
      </c>
    </row>
    <row r="802" spans="1:3" ht="12.75">
      <c r="A802" s="4">
        <v>198</v>
      </c>
      <c r="B802" s="4" t="str">
        <f>GENERAL!B608</f>
        <v>BRO. PIUS, 08071978244: [Headquarters Godly Action]; [Address]</v>
      </c>
      <c r="C802" s="5">
        <f>SUM(GENERAL!I814,GENERAL!M814,GENERAL!Q814,GENERAL!U814)</f>
        <v>0</v>
      </c>
    </row>
    <row r="803" spans="1:3" ht="12.75">
      <c r="A803" s="4">
        <v>198</v>
      </c>
      <c r="B803" s="4">
        <f>GENERAL!B609</f>
        <v>0</v>
      </c>
      <c r="C803" s="5">
        <f>SUM(GENERAL!I611,GENERAL!M611,GENERAL!Q611,GENERAL!U611)</f>
        <v>0</v>
      </c>
    </row>
    <row r="804" spans="1:3" ht="12.75">
      <c r="A804" s="4">
        <v>198</v>
      </c>
      <c r="B804" s="4">
        <f>GENERAL!B610</f>
        <v>0</v>
      </c>
      <c r="C804" s="5">
        <f>SUM(GENERAL!I612,GENERAL!M612,GENERAL!Q612,GENERAL!U612)</f>
        <v>0</v>
      </c>
    </row>
    <row r="805" spans="1:3" ht="12.75">
      <c r="A805" s="4">
        <v>198</v>
      </c>
      <c r="B805" s="4" t="str">
        <f>GENERAL!B611</f>
        <v>BRO. OBI JOHNSON: [Headquarters Member]; Men of Impact [Address]</v>
      </c>
      <c r="C805" s="5">
        <f>SUM(GENERAL!I817,GENERAL!M817,GENERAL!Q817,GENERAL!U817)</f>
        <v>0</v>
      </c>
    </row>
    <row r="806" spans="1:3" ht="12.75">
      <c r="A806" s="4">
        <v>198</v>
      </c>
      <c r="B806" s="4">
        <f>GENERAL!B612</f>
        <v>0</v>
      </c>
      <c r="C806" s="5">
        <f>SUM(GENERAL!I614,GENERAL!M614,GENERAL!Q614,GENERAL!U614)</f>
        <v>0</v>
      </c>
    </row>
    <row r="807" spans="1:3" ht="12.75">
      <c r="A807" s="4">
        <v>198</v>
      </c>
      <c r="B807" s="4">
        <f>GENERAL!B613</f>
        <v>0</v>
      </c>
      <c r="C807" s="5">
        <f>SUM(GENERAL!I615,GENERAL!M615,GENERAL!Q615,GENERAL!U615)</f>
        <v>0</v>
      </c>
    </row>
    <row r="808" spans="1:3" ht="12.75">
      <c r="A808" s="4">
        <v>198</v>
      </c>
      <c r="B808" s="4" t="str">
        <f>GENERAL!B614</f>
        <v>MUMMY SUCCESS: [Headquarters Member]; [Women of Purpose]</v>
      </c>
      <c r="C808" s="5">
        <f>SUM(GENERAL!I616,GENERAL!M616,GENERAL!Q616,GENERAL!U616)</f>
        <v>0</v>
      </c>
    </row>
    <row r="809" spans="1:3" ht="12.75">
      <c r="A809" s="4">
        <v>198</v>
      </c>
      <c r="B809" s="4">
        <f>GENERAL!B615</f>
        <v>0</v>
      </c>
      <c r="C809" s="5">
        <f>SUM(GENERAL!I617,GENERAL!M617,GENERAL!Q617,GENERAL!U617)</f>
        <v>0</v>
      </c>
    </row>
    <row r="810" spans="1:3" ht="12.75">
      <c r="A810" s="4">
        <v>198</v>
      </c>
      <c r="B810" s="4">
        <f>GENERAL!B616</f>
        <v>0</v>
      </c>
      <c r="C810" s="5">
        <f>SUM(GENERAL!I618,GENERAL!M618,GENERAL!Q618,GENERAL!U618)</f>
        <v>0</v>
      </c>
    </row>
    <row r="811" spans="1:3" ht="12.75">
      <c r="A811" s="4">
        <v>198</v>
      </c>
      <c r="B811" s="4" t="str">
        <f>GENERAL!B617</f>
        <v>MUMMY CHRISTABEL: [Headquarters Member]; [Women of Purpose]</v>
      </c>
      <c r="C811" s="5">
        <f>SUM(GENERAL!I619,GENERAL!M619,GENERAL!Q619,GENERAL!U619)</f>
        <v>0</v>
      </c>
    </row>
    <row r="812" spans="1:3" ht="12.75">
      <c r="A812" s="4">
        <v>198</v>
      </c>
      <c r="B812" s="4">
        <f>GENERAL!B618</f>
        <v>0</v>
      </c>
      <c r="C812" s="5">
        <f>SUM(GENERAL!I620,GENERAL!M620,GENERAL!Q620,GENERAL!U620)</f>
        <v>0</v>
      </c>
    </row>
    <row r="813" spans="1:3" ht="12.75">
      <c r="A813" s="4">
        <v>198</v>
      </c>
      <c r="B813" s="4">
        <f>GENERAL!B619</f>
        <v>0</v>
      </c>
      <c r="C813" s="5">
        <f>SUM(GENERAL!I621,GENERAL!M621,GENERAL!Q621,GENERAL!U621)</f>
        <v>0</v>
      </c>
    </row>
    <row r="814" spans="1:3" ht="12.75">
      <c r="A814" s="4">
        <v>198</v>
      </c>
      <c r="B814" s="4" t="str">
        <f>GENERAL!B620</f>
        <v>MUMMY KAMSEY: [Headquarters Member]; [Women of Purpose]5</v>
      </c>
      <c r="C814" s="5">
        <f>SUM(GENERAL!I622,GENERAL!M622,GENERAL!Q622,GENERAL!U622)</f>
        <v>0</v>
      </c>
    </row>
    <row r="815" spans="1:3" ht="12.75">
      <c r="A815" s="4">
        <v>198</v>
      </c>
      <c r="B815" s="4">
        <f>GENERAL!B621</f>
        <v>0</v>
      </c>
      <c r="C815" s="5">
        <f>SUM(GENERAL!I623,GENERAL!M623,GENERAL!Q623,GENERAL!U623)</f>
        <v>0</v>
      </c>
    </row>
    <row r="816" spans="1:3" ht="12.75">
      <c r="A816" s="4">
        <v>198</v>
      </c>
      <c r="B816" s="4">
        <f>GENERAL!B622</f>
        <v>0</v>
      </c>
      <c r="C816" s="5">
        <f>SUM(GENERAL!I624,GENERAL!M624,GENERAL!Q624,GENERAL!U624)</f>
        <v>0</v>
      </c>
    </row>
    <row r="817" spans="1:3" ht="12.75">
      <c r="A817" s="4">
        <v>198</v>
      </c>
      <c r="B817" s="4" t="str">
        <f>GENERAL!B623</f>
        <v>MRS. MATTHEW: [Headquarters Member]; [Women of Purpose]</v>
      </c>
      <c r="C817" s="5">
        <f>SUM(GENERAL!I625,GENERAL!M625,GENERAL!Q625,GENERAL!U625)</f>
        <v>0</v>
      </c>
    </row>
    <row r="818" spans="1:3" ht="12.75">
      <c r="A818" s="4">
        <v>198</v>
      </c>
      <c r="B818" s="4">
        <f>GENERAL!B624</f>
        <v>0</v>
      </c>
      <c r="C818" s="5">
        <f>SUM(GENERAL!I626,GENERAL!M626,GENERAL!Q626,GENERAL!U626)</f>
        <v>0</v>
      </c>
    </row>
    <row r="819" spans="1:3" ht="12.75">
      <c r="A819" s="4">
        <v>198</v>
      </c>
      <c r="B819" s="4">
        <f>GENERAL!B625</f>
        <v>0</v>
      </c>
      <c r="C819" s="5">
        <f>SUM(GENERAL!I627,GENERAL!M627,GENERAL!Q627,GENERAL!U627)</f>
        <v>0</v>
      </c>
    </row>
    <row r="820" spans="1:3" ht="12.75">
      <c r="A820" s="4">
        <v>198</v>
      </c>
      <c r="B820" s="4" t="str">
        <f>GENERAL!B626</f>
        <v>MRS. ROGER: [Headquarters Member]; [Women of Purpose]</v>
      </c>
      <c r="C820" s="5">
        <f>SUM(GENERAL!I628,GENERAL!M628,GENERAL!Q628,GENERAL!U628)</f>
        <v>0</v>
      </c>
    </row>
    <row r="821" spans="1:3" ht="12.75">
      <c r="A821" s="4">
        <v>198</v>
      </c>
      <c r="B821" s="4">
        <f>GENERAL!B627</f>
        <v>0</v>
      </c>
      <c r="C821" s="5">
        <f>SUM(GENERAL!I629,GENERAL!M629,GENERAL!Q629,GENERAL!U629)</f>
        <v>0</v>
      </c>
    </row>
    <row r="822" spans="1:3" ht="12.75">
      <c r="A822" s="4">
        <v>198</v>
      </c>
      <c r="B822" s="4">
        <f>GENERAL!B628</f>
        <v>0</v>
      </c>
      <c r="C822" s="5">
        <f>SUM(GENERAL!I630,GENERAL!M630,GENERAL!Q630,GENERAL!U630)</f>
        <v>0</v>
      </c>
    </row>
    <row r="823" spans="1:3" ht="25.5">
      <c r="A823" s="4">
        <v>198</v>
      </c>
      <c r="B823" s="4" t="str">
        <f>GENERAL!B629</f>
        <v>IDAHOTA PRECIOUS; 08144836505: [Headquarters Member]; [Youth of Power and Glory]</v>
      </c>
      <c r="C823" s="5">
        <f>SUM(GENERAL!I631,GENERAL!M631,GENERAL!Q631,GENERAL!U631)</f>
        <v>0</v>
      </c>
    </row>
    <row r="824" spans="1:3" ht="12.75">
      <c r="A824" s="4">
        <v>198</v>
      </c>
      <c r="B824" s="4">
        <f>GENERAL!B630</f>
        <v>0</v>
      </c>
      <c r="C824" s="5">
        <f>SUM(GENERAL!I632,GENERAL!M632,GENERAL!Q632,GENERAL!U632)</f>
        <v>0</v>
      </c>
    </row>
    <row r="825" spans="1:3" ht="12.75">
      <c r="A825" s="4">
        <v>198</v>
      </c>
      <c r="B825" s="4">
        <f>GENERAL!B631</f>
        <v>0</v>
      </c>
      <c r="C825" s="5">
        <f>SUM(GENERAL!I633,GENERAL!M633,GENERAL!Q633,GENERAL!U633)</f>
        <v>0</v>
      </c>
    </row>
    <row r="826" spans="1:3" ht="12.75">
      <c r="A826" s="4">
        <v>198</v>
      </c>
      <c r="B826" s="4" t="str">
        <f>GENERAL!B632</f>
        <v>BRO EHIS: [Headquarters Prayer]; [Address]</v>
      </c>
      <c r="C826" s="5">
        <f>SUM(GENERAL!I634,GENERAL!M634,GENERAL!Q634,GENERAL!U634)</f>
        <v>0</v>
      </c>
    </row>
    <row r="827" spans="1:3" ht="12.75">
      <c r="A827" s="4">
        <v>198</v>
      </c>
      <c r="B827" s="4">
        <f>GENERAL!B633</f>
        <v>0</v>
      </c>
      <c r="C827" s="5">
        <f>SUM(GENERAL!I635,GENERAL!M635,GENERAL!Q635,GENERAL!U635)</f>
        <v>0</v>
      </c>
    </row>
    <row r="828" spans="1:3" ht="12.75">
      <c r="A828" s="4">
        <v>198</v>
      </c>
      <c r="B828" s="4">
        <f>GENERAL!B634</f>
        <v>0</v>
      </c>
      <c r="C828" s="5">
        <f>SUM(GENERAL!I636,GENERAL!M636,GENERAL!Q636,GENERAL!U636)</f>
        <v>0</v>
      </c>
    </row>
    <row r="829" spans="1:3" ht="12.75">
      <c r="A829" s="4">
        <v>198</v>
      </c>
      <c r="B829" s="4" t="str">
        <f>GENERAL!B635</f>
        <v>MUMMY UNION: [Headquarters Member]; [Women of Purpose]</v>
      </c>
      <c r="C829" s="5">
        <f>SUM(GENERAL!I637,GENERAL!M637,GENERAL!Q637,GENERAL!U637)</f>
        <v>0</v>
      </c>
    </row>
    <row r="830" spans="1:3" ht="12.75">
      <c r="A830" s="4">
        <v>198</v>
      </c>
      <c r="B830" s="4">
        <f>GENERAL!B636</f>
        <v>0</v>
      </c>
      <c r="C830" s="5">
        <f>SUM(GENERAL!I638,GENERAL!M638,GENERAL!Q638,GENERAL!U638)</f>
        <v>0</v>
      </c>
    </row>
    <row r="831" spans="1:3" ht="12.75">
      <c r="A831" s="4">
        <v>198</v>
      </c>
      <c r="B831" s="4">
        <f>GENERAL!B637</f>
        <v>0</v>
      </c>
      <c r="C831" s="5">
        <f>SUM(GENERAL!I639,GENERAL!M639,GENERAL!Q639,GENERAL!U639)</f>
        <v>0</v>
      </c>
    </row>
    <row r="832" spans="1:3" ht="12.75">
      <c r="A832" s="4">
        <v>198</v>
      </c>
      <c r="B832" s="4" t="str">
        <f>GENERAL!B638</f>
        <v>OTABOR BLESSING; 09156464691: [Headquarters Member]; [Choir]</v>
      </c>
      <c r="C832" s="5">
        <f>SUM(GENERAL!I640,GENERAL!M640,GENERAL!Q640,GENERAL!U640)</f>
        <v>0</v>
      </c>
    </row>
    <row r="833" spans="1:3" ht="12.75">
      <c r="A833" s="4">
        <v>198</v>
      </c>
      <c r="B833" s="4">
        <f>GENERAL!B639</f>
        <v>0</v>
      </c>
      <c r="C833" s="5">
        <f>SUM(GENERAL!I641,GENERAL!M641,GENERAL!Q641,GENERAL!U641)</f>
        <v>0</v>
      </c>
    </row>
    <row r="834" spans="1:3" ht="12.75">
      <c r="A834" s="4">
        <v>198</v>
      </c>
      <c r="B834" s="4">
        <f>GENERAL!B640</f>
        <v>0</v>
      </c>
      <c r="C834" s="5">
        <f>SUM(GENERAL!I642,GENERAL!M642,GENERAL!Q642,GENERAL!U642)</f>
        <v>0</v>
      </c>
    </row>
    <row r="835" spans="1:3" ht="12.75">
      <c r="A835" s="4">
        <v>198</v>
      </c>
      <c r="B835" s="4" t="str">
        <f>GENERAL!B641</f>
        <v>AMADIN MAVINS: [Headquarters Instrumentalist]; [Address]</v>
      </c>
      <c r="C835" s="5">
        <f>SUM(GENERAL!I643,GENERAL!M643,GENERAL!Q643,GENERAL!U643)</f>
        <v>0</v>
      </c>
    </row>
    <row r="836" spans="1:3" ht="12.75">
      <c r="A836" s="4">
        <v>198</v>
      </c>
      <c r="B836" s="4">
        <f>GENERAL!B642</f>
        <v>0</v>
      </c>
      <c r="C836" s="5">
        <f>SUM(GENERAL!I644,GENERAL!M644,GENERAL!Q644,GENERAL!U644)</f>
        <v>0</v>
      </c>
    </row>
    <row r="837" spans="1:3" ht="12.75">
      <c r="A837" s="4">
        <v>198</v>
      </c>
      <c r="B837" s="4">
        <f>GENERAL!B643</f>
        <v>0</v>
      </c>
      <c r="C837" s="5">
        <f>SUM(GENERAL!I645,GENERAL!M645,GENERAL!Q645,GENERAL!U645)</f>
        <v>0</v>
      </c>
    </row>
    <row r="838" spans="1:3" ht="12.75">
      <c r="A838" s="4">
        <v>198</v>
      </c>
      <c r="B838" s="4" t="str">
        <f>GENERAL!B644</f>
        <v>BRO UKUW T. VICTORY; 0911295701: [Headquarters Godly Action]; [Address]</v>
      </c>
      <c r="C838" s="5">
        <f>SUM(GENERAL!I646,GENERAL!M646,GENERAL!Q646,GENERAL!U646)</f>
        <v>0</v>
      </c>
    </row>
    <row r="839" spans="1:3" ht="12.75">
      <c r="A839" s="4">
        <v>198</v>
      </c>
      <c r="B839" s="4">
        <f>GENERAL!B645</f>
        <v>0</v>
      </c>
      <c r="C839" s="5">
        <f>SUM(GENERAL!I647,GENERAL!M647,GENERAL!Q647,GENERAL!U647)</f>
        <v>0</v>
      </c>
    </row>
    <row r="840" spans="1:3" ht="12.75">
      <c r="A840" s="4">
        <v>198</v>
      </c>
      <c r="B840" s="4">
        <f>GENERAL!B646</f>
        <v>0</v>
      </c>
      <c r="C840" s="5">
        <f>SUM(GENERAL!I648,GENERAL!M648,GENERAL!Q648,GENERAL!U648)</f>
        <v>0</v>
      </c>
    </row>
    <row r="841" spans="1:3" ht="12.75">
      <c r="A841" s="4">
        <v>198</v>
      </c>
      <c r="B841" s="4" t="str">
        <f>GENERAL!B647</f>
        <v>OREDIA VICTORY; 08144836505: [Headquarters Member]; [Choir]</v>
      </c>
      <c r="C841" s="5">
        <f>SUM(GENERAL!I649,GENERAL!M649,GENERAL!Q649,GENERAL!U649)</f>
        <v>0</v>
      </c>
    </row>
    <row r="842" spans="1:3" ht="12.75">
      <c r="A842" s="4">
        <v>198</v>
      </c>
      <c r="B842" s="4">
        <f>GENERAL!B648</f>
        <v>0</v>
      </c>
      <c r="C842" s="5">
        <f>SUM(GENERAL!I650,GENERAL!M650,GENERAL!Q650,GENERAL!U650)</f>
        <v>0</v>
      </c>
    </row>
    <row r="843" spans="1:3" ht="12.75">
      <c r="A843" s="4">
        <v>198</v>
      </c>
      <c r="B843" s="4">
        <f>GENERAL!B649</f>
        <v>0</v>
      </c>
      <c r="C843" s="5">
        <f>SUM(GENERAL!I651,GENERAL!M651,GENERAL!Q651,GENERAL!U651)</f>
        <v>0</v>
      </c>
    </row>
    <row r="844" spans="1:3" ht="12.75">
      <c r="A844" s="4">
        <v>198</v>
      </c>
      <c r="B844" s="4" t="str">
        <f>GENERAL!B650</f>
        <v>IllEGBEJIE EXCEL; 08023798580: [Headquarters Member]; [Youth of Power and Glory]</v>
      </c>
      <c r="C844" s="5">
        <f>SUM(GENERAL!I652,GENERAL!M652,GENERAL!Q652,GENERAL!U652)</f>
        <v>0</v>
      </c>
    </row>
    <row r="845" spans="1:3" ht="12.75">
      <c r="A845" s="4">
        <v>198</v>
      </c>
      <c r="B845" s="4">
        <f>GENERAL!B651</f>
        <v>0</v>
      </c>
      <c r="C845" s="5">
        <f>SUM(GENERAL!I653,GENERAL!M653,GENERAL!Q653,GENERAL!U653)</f>
        <v>0</v>
      </c>
    </row>
    <row r="846" spans="1:3" ht="12.75">
      <c r="A846" s="4">
        <v>198</v>
      </c>
      <c r="B846" s="4">
        <f>GENERAL!B652</f>
        <v>0</v>
      </c>
      <c r="C846" s="5">
        <f>SUM(GENERAL!I654,GENERAL!M654,GENERAL!Q654,GENERAL!U654)</f>
        <v>0</v>
      </c>
    </row>
    <row r="847" spans="1:3" ht="12.75">
      <c r="A847" s="4">
        <v>198</v>
      </c>
      <c r="B847" s="4" t="str">
        <f>GENERAL!B653</f>
        <v>NOSA SPLENDOR ; 07031567546: [Headquarters Member]; [Youth of Power and Glory]</v>
      </c>
      <c r="C847" s="5">
        <f>SUM(GENERAL!I655,GENERAL!M655,GENERAL!Q655,GENERAL!U655)</f>
        <v>0</v>
      </c>
    </row>
    <row r="848" spans="1:3" ht="12.75">
      <c r="A848" s="4">
        <v>198</v>
      </c>
      <c r="B848" s="4">
        <f>GENERAL!B654</f>
        <v>0</v>
      </c>
      <c r="C848" s="5">
        <f>SUM(GENERAL!I656,GENERAL!M656,GENERAL!Q656,GENERAL!U656)</f>
        <v>0</v>
      </c>
    </row>
    <row r="849" spans="1:3" ht="12.75">
      <c r="A849" s="4">
        <v>198</v>
      </c>
      <c r="B849" s="4">
        <f>GENERAL!B655</f>
        <v>0</v>
      </c>
      <c r="C849" s="5">
        <f>SUM(GENERAL!I657,GENERAL!M657,GENERAL!Q657,GENERAL!U657)</f>
        <v>0</v>
      </c>
    </row>
    <row r="850" spans="1:3" ht="25.5">
      <c r="A850" s="4">
        <v>198</v>
      </c>
      <c r="B850" s="4" t="str">
        <f>GENERAL!B656</f>
        <v>IDAHOTA PRECIOUS; 08144836505: [Headquarters Member]; [Youth of Power and Glory]</v>
      </c>
      <c r="C850" s="5">
        <f>SUM(GENERAL!I658,GENERAL!M658,GENERAL!Q658,GENERAL!U658)</f>
        <v>0</v>
      </c>
    </row>
    <row r="851" spans="1:3" ht="12.75">
      <c r="A851" s="4">
        <v>198</v>
      </c>
      <c r="B851" s="4">
        <f>GENERAL!B657</f>
        <v>0</v>
      </c>
      <c r="C851" s="5">
        <f>SUM(GENERAL!I659,GENERAL!M659,GENERAL!Q659,GENERAL!U659)</f>
        <v>0</v>
      </c>
    </row>
    <row r="852" spans="1:3" ht="12.75">
      <c r="A852" s="4">
        <v>198</v>
      </c>
      <c r="B852" s="4">
        <f>GENERAL!B658</f>
        <v>0</v>
      </c>
      <c r="C852" s="5">
        <f>SUM(GENERAL!I660,GENERAL!M660,GENERAL!Q660,GENERAL!U660)</f>
        <v>0</v>
      </c>
    </row>
    <row r="853" spans="1:3" ht="12.75">
      <c r="A853" s="4">
        <v>198</v>
      </c>
      <c r="B853" s="4" t="str">
        <f>GENERAL!B659</f>
        <v>SIS COURAGE ATANE; 09052268276: [Headquarters Member]; [Choir]</v>
      </c>
      <c r="C853" s="5">
        <f>SUM(GENERAL!I661,GENERAL!M661,GENERAL!Q661,GENERAL!U661)</f>
        <v>0</v>
      </c>
    </row>
    <row r="854" spans="1:3" ht="12.75">
      <c r="A854" s="4">
        <v>198</v>
      </c>
      <c r="B854" s="4">
        <f>GENERAL!B660</f>
        <v>0</v>
      </c>
      <c r="C854" s="5">
        <f>SUM(GENERAL!I662,GENERAL!M662,GENERAL!Q662,GENERAL!U662)</f>
        <v>0</v>
      </c>
    </row>
    <row r="855" spans="1:3" ht="12.75">
      <c r="A855" s="4">
        <v>198</v>
      </c>
      <c r="B855" s="4">
        <f>GENERAL!B661</f>
        <v>0</v>
      </c>
      <c r="C855" s="5">
        <f>SUM(GENERAL!I663,GENERAL!M663,GENERAL!Q663,GENERAL!U663)</f>
        <v>0</v>
      </c>
    </row>
    <row r="856" spans="1:3" ht="12.75">
      <c r="A856" s="4">
        <v>198</v>
      </c>
      <c r="B856" s="4" t="str">
        <f>GENERAL!B662</f>
        <v>ATANE JOY; 09165656493: [Headquarters Member]; [Choir]</v>
      </c>
      <c r="C856" s="5">
        <f>SUM(GENERAL!I664,GENERAL!M664,GENERAL!Q664,GENERAL!U664)</f>
        <v>0</v>
      </c>
    </row>
    <row r="857" spans="1:3" ht="12.75">
      <c r="A857" s="4">
        <v>198</v>
      </c>
      <c r="B857" s="4">
        <f>GENERAL!B663</f>
        <v>0</v>
      </c>
      <c r="C857" s="5">
        <f>SUM(GENERAL!I665,GENERAL!M665,GENERAL!Q665,GENERAL!U665)</f>
        <v>0</v>
      </c>
    </row>
    <row r="858" spans="1:3" ht="12.75">
      <c r="A858" s="4">
        <v>198</v>
      </c>
      <c r="B858" s="4">
        <f>GENERAL!B664</f>
        <v>0</v>
      </c>
      <c r="C858" s="5">
        <f>SUM(GENERAL!I666,GENERAL!M666,GENERAL!Q666,GENERAL!U666)</f>
        <v>0</v>
      </c>
    </row>
    <row r="859" spans="1:3" ht="12.75">
      <c r="A859" s="4">
        <v>198</v>
      </c>
      <c r="B859" s="4" t="str">
        <f>GENERAL!B665</f>
        <v>SIS PRAISE ILEGBEJIE: [Headquarters Member]; [Choir]</v>
      </c>
      <c r="C859" s="5">
        <f>SUM(GENERAL!I667,GENERAL!M667,GENERAL!Q667,GENERAL!U667)</f>
        <v>0</v>
      </c>
    </row>
    <row r="860" spans="1:3" ht="12.75">
      <c r="A860" s="4">
        <v>198</v>
      </c>
      <c r="B860" s="4">
        <f>GENERAL!B666</f>
        <v>0</v>
      </c>
      <c r="C860" s="5">
        <f>SUM(GENERAL!I668,GENERAL!M668,GENERAL!Q668,GENERAL!U668)</f>
        <v>0</v>
      </c>
    </row>
    <row r="861" spans="1:3" ht="12.75">
      <c r="A861" s="4">
        <v>198</v>
      </c>
      <c r="B861" s="4">
        <f>GENERAL!B667</f>
        <v>0</v>
      </c>
      <c r="C861" s="5">
        <f>SUM(GENERAL!I669,GENERAL!M669,GENERAL!Q669,GENERAL!U669)</f>
        <v>0</v>
      </c>
    </row>
    <row r="862" spans="1:3" ht="12.75">
      <c r="A862" s="4">
        <v>198</v>
      </c>
      <c r="B862" s="4" t="str">
        <f>GENERAL!B668</f>
        <v>SIS UGBEKILE FAITH; 0901216393: [Headquarters Member]; [Choir]</v>
      </c>
      <c r="C862" s="5">
        <f>SUM(GENERAL!I670,GENERAL!M670,GENERAL!Q670,GENERAL!U670)</f>
        <v>0</v>
      </c>
    </row>
    <row r="863" spans="1:3" ht="12.75">
      <c r="A863" s="4">
        <v>198</v>
      </c>
      <c r="B863" s="4">
        <f>GENERAL!B669</f>
        <v>0</v>
      </c>
      <c r="C863" s="5">
        <f>SUM(GENERAL!I671,GENERAL!M671,GENERAL!Q671,GENERAL!U671)</f>
        <v>0</v>
      </c>
    </row>
    <row r="864" spans="1:3" ht="12.75">
      <c r="A864" s="4">
        <v>198</v>
      </c>
      <c r="B864" s="4">
        <f>GENERAL!B670</f>
        <v>0</v>
      </c>
      <c r="C864" s="5">
        <f>SUM(GENERAL!I672,GENERAL!M672,GENERAL!Q672,GENERAL!U672)</f>
        <v>0</v>
      </c>
    </row>
    <row r="865" spans="1:3" ht="12.75">
      <c r="A865" s="4">
        <v>198</v>
      </c>
      <c r="B865" s="4" t="str">
        <f>GENERAL!B671</f>
        <v>SIS RITA: [Headquarters Member]; [Women of Purpose]</v>
      </c>
      <c r="C865" s="5">
        <f>SUM(GENERAL!I673,GENERAL!M673,GENERAL!Q673,GENERAL!U673)</f>
        <v>0</v>
      </c>
    </row>
    <row r="866" spans="1:3" ht="12.75">
      <c r="A866" s="4">
        <v>198</v>
      </c>
      <c r="B866" s="4">
        <f>GENERAL!B672</f>
        <v>0</v>
      </c>
      <c r="C866" s="5">
        <f>SUM(GENERAL!I674,GENERAL!M674,GENERAL!Q674,GENERAL!U674)</f>
        <v>0</v>
      </c>
    </row>
    <row r="867" spans="1:3" ht="12.75">
      <c r="A867" s="4">
        <v>198</v>
      </c>
      <c r="B867" s="4">
        <f>GENERAL!B673</f>
        <v>0</v>
      </c>
      <c r="C867" s="5">
        <f>SUM(GENERAL!I675,GENERAL!M675,GENERAL!Q675,GENERAL!U675)</f>
        <v>0</v>
      </c>
    </row>
    <row r="868" spans="1:3" ht="12.75">
      <c r="A868" s="4">
        <v>198</v>
      </c>
      <c r="B868" s="4" t="str">
        <f>GENERAL!B674</f>
        <v>MUMMY ELIJAH: [Headquarters Member]; [Women of Purpose]</v>
      </c>
      <c r="C868" s="5">
        <f>SUM(GENERAL!I676,GENERAL!M676,GENERAL!Q676,GENERAL!U676)</f>
        <v>0</v>
      </c>
    </row>
    <row r="869" spans="1:3" ht="12.75">
      <c r="A869" s="4">
        <v>198</v>
      </c>
      <c r="B869" s="4">
        <f>GENERAL!B675</f>
        <v>0</v>
      </c>
      <c r="C869" s="5">
        <f>SUM(GENERAL!I677,GENERAL!M677,GENERAL!Q677,GENERAL!U677)</f>
        <v>0</v>
      </c>
    </row>
    <row r="870" spans="1:3" ht="12.75">
      <c r="A870" s="4">
        <v>198</v>
      </c>
      <c r="B870" s="4">
        <f>GENERAL!B676</f>
        <v>0</v>
      </c>
      <c r="C870" s="5">
        <f>SUM(GENERAL!I678,GENERAL!M678,GENERAL!Q678,GENERAL!U678)</f>
        <v>0</v>
      </c>
    </row>
    <row r="871" spans="1:3" ht="12.75">
      <c r="A871" s="4">
        <v>198</v>
      </c>
      <c r="B871" s="4" t="str">
        <f>GENERAL!B677</f>
        <v>SIS GLADYS: [Headquarters Member]; [Women of Purpose]</v>
      </c>
      <c r="C871" s="5">
        <f>SUM(GENERAL!I679,GENERAL!M679,GENERAL!Q679,GENERAL!U679)</f>
        <v>0</v>
      </c>
    </row>
    <row r="872" spans="1:3" ht="12.75">
      <c r="A872" s="4">
        <v>198</v>
      </c>
      <c r="B872" s="4">
        <f>GENERAL!B678</f>
        <v>0</v>
      </c>
      <c r="C872" s="5">
        <f>SUM(GENERAL!I680,GENERAL!M680,GENERAL!Q680,GENERAL!U680)</f>
        <v>0</v>
      </c>
    </row>
    <row r="873" spans="1:3" ht="12.75">
      <c r="A873" s="4">
        <v>198</v>
      </c>
      <c r="B873" s="4">
        <f>GENERAL!B679</f>
        <v>0</v>
      </c>
      <c r="C873" s="5">
        <f>SUM(GENERAL!I681,GENERAL!M681,GENERAL!Q681,GENERAL!U681)</f>
        <v>0</v>
      </c>
    </row>
    <row r="874" spans="1:3" ht="12.75">
      <c r="A874" s="4">
        <v>198</v>
      </c>
      <c r="B874" s="4" t="str">
        <f>GENERAL!B680</f>
        <v>MAMA OSAROBO: [Headquarters Member]; [Women of Purpose]</v>
      </c>
      <c r="C874" s="5">
        <f>SUM(GENERAL!I682,GENERAL!M682,GENERAL!Q682,GENERAL!U682)</f>
        <v>0</v>
      </c>
    </row>
    <row r="875" spans="1:3" ht="12.75">
      <c r="A875" s="4">
        <v>198</v>
      </c>
      <c r="B875" s="4">
        <f>GENERAL!B681</f>
        <v>0</v>
      </c>
      <c r="C875" s="5">
        <f>SUM(GENERAL!I683,GENERAL!M683,GENERAL!Q683,GENERAL!U683)</f>
        <v>0</v>
      </c>
    </row>
    <row r="876" spans="1:3" ht="12.75">
      <c r="A876" s="4">
        <v>198</v>
      </c>
      <c r="B876" s="4">
        <f>GENERAL!B682</f>
        <v>0</v>
      </c>
      <c r="C876" s="5">
        <f>SUM(GENERAL!I684,GENERAL!M684,GENERAL!Q684,GENERAL!U684)</f>
        <v>0</v>
      </c>
    </row>
    <row r="877" spans="1:3" ht="12.75">
      <c r="A877" s="4">
        <v>198</v>
      </c>
      <c r="B877" s="4" t="str">
        <f>GENERAL!B683</f>
        <v>MRS. EJIRO: [Headquarters Member]; [Women of Purpose]</v>
      </c>
      <c r="C877" s="5">
        <f>SUM(GENERAL!I685,GENERAL!M685,GENERAL!Q685,GENERAL!U685)</f>
        <v>0</v>
      </c>
    </row>
    <row r="878" spans="1:3" ht="12.75">
      <c r="A878" s="4">
        <v>198</v>
      </c>
      <c r="B878" s="4">
        <f>GENERAL!B684</f>
        <v>0</v>
      </c>
      <c r="C878" s="5">
        <f>SUM(GENERAL!I686,GENERAL!M686,GENERAL!Q686,GENERAL!U686)</f>
        <v>0</v>
      </c>
    </row>
    <row r="879" spans="1:3" ht="12.75">
      <c r="A879" s="4">
        <v>198</v>
      </c>
      <c r="B879" s="4">
        <f>GENERAL!B685</f>
        <v>0</v>
      </c>
      <c r="C879" s="5">
        <f>SUM(GENERAL!I687,GENERAL!M687,GENERAL!Q687,GENERAL!U687)</f>
        <v>0</v>
      </c>
    </row>
    <row r="880" spans="1:3" ht="12.75">
      <c r="A880" s="4">
        <v>198</v>
      </c>
      <c r="B880" s="4" t="str">
        <f>GENERAL!B686</f>
        <v>DESTINY (D.V); 07026612509: [Headquarters Member]; [Choir]</v>
      </c>
      <c r="C880" s="5">
        <f>SUM(GENERAL!I688,GENERAL!M688,GENERAL!Q688,GENERAL!U688)</f>
        <v>0</v>
      </c>
    </row>
    <row r="881" spans="1:3" ht="12.75">
      <c r="A881" s="4">
        <v>198</v>
      </c>
      <c r="B881" s="4">
        <f>GENERAL!B687</f>
        <v>0</v>
      </c>
      <c r="C881" s="5">
        <f>SUM(GENERAL!I689,GENERAL!M689,GENERAL!Q689,GENERAL!U689)</f>
        <v>0</v>
      </c>
    </row>
    <row r="882" spans="1:3" ht="12.75">
      <c r="A882" s="4">
        <v>198</v>
      </c>
      <c r="B882" s="4">
        <f>GENERAL!B688</f>
        <v>0</v>
      </c>
      <c r="C882" s="5">
        <f>SUM(GENERAL!I690,GENERAL!M690,GENERAL!Q690,GENERAL!U690)</f>
        <v>0</v>
      </c>
    </row>
    <row r="883" spans="1:3" ht="12.75">
      <c r="A883" s="4">
        <v>198</v>
      </c>
      <c r="B883" s="4" t="str">
        <f>GENERAL!B689</f>
        <v>TRUST; 08117028203: [Headquarters Member]; [Choir]</v>
      </c>
      <c r="C883" s="5">
        <f>SUM(GENERAL!I691,GENERAL!M691,GENERAL!Q691,GENERAL!U691)</f>
        <v>0</v>
      </c>
    </row>
    <row r="884" spans="1:3" ht="12.75">
      <c r="A884" s="4">
        <v>198</v>
      </c>
      <c r="B884" s="4">
        <f>GENERAL!B690</f>
        <v>0</v>
      </c>
      <c r="C884" s="5">
        <f>SUM(GENERAL!I692,GENERAL!M692,GENERAL!Q692,GENERAL!U692)</f>
        <v>0</v>
      </c>
    </row>
    <row r="885" spans="1:3" ht="12.75">
      <c r="A885" s="4">
        <v>198</v>
      </c>
      <c r="B885" s="4">
        <f>GENERAL!B691</f>
        <v>0</v>
      </c>
      <c r="C885" s="5">
        <f>SUM(GENERAL!I693,GENERAL!M693,GENERAL!Q693,GENERAL!U693)</f>
        <v>0</v>
      </c>
    </row>
    <row r="886" spans="1:3" ht="12.75">
      <c r="A886" s="4">
        <v>198</v>
      </c>
      <c r="B886" s="4" t="str">
        <f>GENERAL!B692</f>
        <v>HAPPY EDAHOR: [Headquarters Member]; [Choir]</v>
      </c>
      <c r="C886" s="5">
        <f>SUM(GENERAL!I694,GENERAL!M694,GENERAL!Q694,GENERAL!U694)</f>
        <v>0</v>
      </c>
    </row>
    <row r="887" spans="1:3" ht="12.75">
      <c r="A887" s="4">
        <v>198</v>
      </c>
      <c r="B887" s="4">
        <f>GENERAL!B693</f>
        <v>0</v>
      </c>
      <c r="C887" s="5">
        <f>SUM(GENERAL!I695,GENERAL!M695,GENERAL!Q695,GENERAL!U695)</f>
        <v>0</v>
      </c>
    </row>
    <row r="888" spans="1:3" ht="12.75">
      <c r="A888" s="4">
        <v>198</v>
      </c>
      <c r="B888" s="4">
        <f>GENERAL!B694</f>
        <v>0</v>
      </c>
      <c r="C888" s="5">
        <f>SUM(GENERAL!I696,GENERAL!M696,GENERAL!Q696,GENERAL!U696)</f>
        <v>0</v>
      </c>
    </row>
    <row r="889" spans="1:3" ht="12.75">
      <c r="A889" s="4">
        <v>198</v>
      </c>
      <c r="B889" s="4" t="str">
        <f>GENERAL!B695</f>
        <v>BRO OSAGIE: [Headquarters Choir]; [Address]</v>
      </c>
      <c r="C889" s="5">
        <f>SUM(GENERAL!I697,GENERAL!M697,GENERAL!Q697,GENERAL!U697)</f>
        <v>0</v>
      </c>
    </row>
    <row r="890" spans="1:3" ht="12.75">
      <c r="A890" s="4">
        <v>198</v>
      </c>
      <c r="B890" s="4">
        <f>GENERAL!B696</f>
        <v>0</v>
      </c>
      <c r="C890" s="5">
        <f>SUM(GENERAL!I698,GENERAL!M698,GENERAL!Q698,GENERAL!U698)</f>
        <v>0</v>
      </c>
    </row>
    <row r="891" spans="1:3" ht="12.75">
      <c r="A891" s="4">
        <v>198</v>
      </c>
      <c r="B891" s="4">
        <f>GENERAL!B697</f>
        <v>0</v>
      </c>
      <c r="C891" s="5">
        <f>SUM(GENERAL!I699,GENERAL!M699,GENERAL!Q699,GENERAL!U699)</f>
        <v>0</v>
      </c>
    </row>
    <row r="892" spans="1:3" ht="12.75">
      <c r="A892" s="4">
        <v>198</v>
      </c>
      <c r="B892" s="4" t="str">
        <f>GENERAL!B698</f>
        <v>SIS PRAISE AIGBOSE: [Headquarters Member]; [Choir]</v>
      </c>
      <c r="C892" s="5">
        <f>SUM(GENERAL!I700,GENERAL!M700,GENERAL!Q700,GENERAL!U700)</f>
        <v>0</v>
      </c>
    </row>
    <row r="893" spans="1:3" ht="12.75">
      <c r="A893" s="4">
        <v>198</v>
      </c>
      <c r="B893" s="4">
        <f>GENERAL!B699</f>
        <v>0</v>
      </c>
      <c r="C893" s="5">
        <f>SUM(GENERAL!I701,GENERAL!M701,GENERAL!Q701,GENERAL!U701)</f>
        <v>0</v>
      </c>
    </row>
    <row r="894" spans="1:3" ht="12.75">
      <c r="A894" s="4">
        <v>198</v>
      </c>
      <c r="B894" s="4">
        <f>GENERAL!B700</f>
        <v>0</v>
      </c>
      <c r="C894" s="5">
        <f>SUM(GENERAL!I702,GENERAL!M702,GENERAL!Q702,GENERAL!U702)</f>
        <v>0</v>
      </c>
    </row>
    <row r="895" spans="1:3" ht="12.75">
      <c r="A895" s="4">
        <v>198</v>
      </c>
      <c r="B895" s="4" t="str">
        <f>GENERAL!B701</f>
        <v>NOSA SPLENDOR ; 07031567546: [Headquarters Member]; [Choir]</v>
      </c>
      <c r="C895" s="5">
        <f>SUM(GENERAL!I703,GENERAL!M703,GENERAL!Q703,GENERAL!U703,GENERAL!Y703)</f>
        <v>0</v>
      </c>
    </row>
    <row r="896" spans="1:3" ht="12.75">
      <c r="A896" s="4">
        <v>198</v>
      </c>
      <c r="B896" s="4">
        <f>GENERAL!B702</f>
        <v>0</v>
      </c>
      <c r="C896" s="5">
        <f>SUM(GENERAL!I704,GENERAL!M704,GENERAL!Q704,GENERAL!U704)</f>
        <v>0</v>
      </c>
    </row>
    <row r="897" spans="1:3" ht="12.75">
      <c r="A897" s="4">
        <v>198</v>
      </c>
      <c r="B897" s="4">
        <f>GENERAL!B703</f>
        <v>0</v>
      </c>
      <c r="C897" s="5">
        <f>SUM(GENERAL!I705,GENERAL!M705,GENERAL!Q705,GENERAL!U705)</f>
        <v>0</v>
      </c>
    </row>
    <row r="898" spans="1:3" ht="12.75">
      <c r="A898" s="4">
        <v>198</v>
      </c>
      <c r="B898" s="4" t="str">
        <f>GENERAL!B704</f>
        <v>DESTINY OSAGBOKAM; 07026612509: [Headquarters Member]; [Choir]</v>
      </c>
      <c r="C898" s="5">
        <f>SUM(GENERAL!I706,GENERAL!M706,GENERAL!Q706,GENERAL!U706,GENERAL!Y706)</f>
        <v>0</v>
      </c>
    </row>
    <row r="899" spans="1:3" ht="12.75">
      <c r="A899" s="4">
        <v>198</v>
      </c>
      <c r="B899" s="4">
        <f>GENERAL!B705</f>
        <v>0</v>
      </c>
      <c r="C899" s="5">
        <f>SUM(GENERAL!I708,GENERAL!M708,GENERAL!Q708,GENERAL!U708)</f>
        <v>0</v>
      </c>
    </row>
    <row r="900" spans="1:3" ht="12.75">
      <c r="A900" s="4">
        <v>198</v>
      </c>
      <c r="B900" s="4">
        <f>GENERAL!B706</f>
        <v>0</v>
      </c>
      <c r="C900" s="5">
        <f>SUM(GENERAL!I709,GENERAL!M709,GENERAL!Q709,GENERAL!U709)</f>
        <v>0</v>
      </c>
    </row>
    <row r="901" spans="1:3" ht="12.75">
      <c r="A901" s="4">
        <v>198</v>
      </c>
      <c r="B901" s="4">
        <f>GENERAL!B708</f>
        <v>0</v>
      </c>
      <c r="C901" s="5">
        <f>SUM(GENERAL!I710,GENERAL!M710,GENERAL!Q710,GENERAL!U710)</f>
        <v>0</v>
      </c>
    </row>
    <row r="902" spans="1:3" ht="12.75">
      <c r="A902" s="4">
        <v>198</v>
      </c>
      <c r="B902" s="4">
        <f>GENERAL!B709</f>
        <v>0</v>
      </c>
      <c r="C902" s="5">
        <f>SUM(GENERAL!I711,GENERAL!M711,GENERAL!Q711,GENERAL!U711)</f>
        <v>0</v>
      </c>
    </row>
    <row r="903" spans="1:3" ht="12.75">
      <c r="A903" s="4">
        <v>198</v>
      </c>
      <c r="B903" s="4">
        <f>GENERAL!B710</f>
        <v>0</v>
      </c>
      <c r="C903" s="5">
        <f>SUM(GENERAL!I712,GENERAL!M712,GENERAL!Q712,GENERAL!U712)</f>
        <v>0</v>
      </c>
    </row>
    <row r="904" spans="1:3" ht="12.75">
      <c r="A904" s="4">
        <v>198</v>
      </c>
      <c r="B904" s="4">
        <f>GENERAL!B711</f>
        <v>0</v>
      </c>
      <c r="C904" s="5">
        <f>SUM(GENERAL!I713,GENERAL!M713,GENERAL!Q713,GENERAL!U713)</f>
        <v>0</v>
      </c>
    </row>
    <row r="905" spans="1:3" ht="12.75">
      <c r="A905" s="4">
        <v>198</v>
      </c>
      <c r="B905" s="4">
        <f>GENERAL!B712</f>
        <v>0</v>
      </c>
      <c r="C905" s="5">
        <f>SUM(GENERAL!I714,GENERAL!M714,GENERAL!Q714,GENERAL!U714)</f>
        <v>0</v>
      </c>
    </row>
    <row r="906" spans="1:3" ht="12.75">
      <c r="A906" s="4">
        <v>198</v>
      </c>
      <c r="B906" s="4">
        <f>GENERAL!B713</f>
        <v>0</v>
      </c>
      <c r="C906" s="5">
        <f>SUM(GENERAL!I715,GENERAL!M715,GENERAL!Q715,GENERAL!U715)</f>
        <v>0</v>
      </c>
    </row>
    <row r="907" spans="1:3" ht="12.75">
      <c r="A907" s="4">
        <v>198</v>
      </c>
      <c r="B907" s="4">
        <f>GENERAL!B714</f>
        <v>0</v>
      </c>
      <c r="C907" s="5">
        <f>SUM(GENERAL!I716,GENERAL!M716,GENERAL!Q716,GENERAL!U716)</f>
        <v>0</v>
      </c>
    </row>
    <row r="908" spans="1:3" ht="12.75">
      <c r="A908" s="4">
        <v>198</v>
      </c>
      <c r="B908" s="4">
        <f>GENERAL!B715</f>
        <v>0</v>
      </c>
      <c r="C908" s="5">
        <f>SUM(GENERAL!I717,GENERAL!M717,GENERAL!Q717,GENERAL!U717)</f>
        <v>0</v>
      </c>
    </row>
    <row r="909" spans="1:3" ht="12.75">
      <c r="A909" s="4">
        <v>198</v>
      </c>
      <c r="B909" s="4">
        <f>GENERAL!B716</f>
        <v>0</v>
      </c>
      <c r="C909" s="5">
        <f>SUM(GENERAL!I718,GENERAL!M718,GENERAL!Q718,GENERAL!U718)</f>
        <v>0</v>
      </c>
    </row>
    <row r="910" spans="1:3" ht="12.75">
      <c r="A910" s="4">
        <v>198</v>
      </c>
      <c r="B910" s="4">
        <f>GENERAL!B717</f>
        <v>0</v>
      </c>
      <c r="C910" s="5">
        <f>SUM(GENERAL!I719,GENERAL!M719,GENERAL!Q719,GENERAL!U719)</f>
        <v>0</v>
      </c>
    </row>
    <row r="911" spans="1:3" ht="12.75">
      <c r="A911" s="4">
        <v>198</v>
      </c>
      <c r="B911" s="4">
        <f>GENERAL!B718</f>
        <v>0</v>
      </c>
      <c r="C911" s="5">
        <f>SUM(GENERAL!I720,GENERAL!M720,GENERAL!Q720,GENERAL!U720)</f>
        <v>0</v>
      </c>
    </row>
    <row r="912" spans="1:3" ht="12.75">
      <c r="A912" s="4">
        <v>198</v>
      </c>
      <c r="B912" s="4">
        <f>GENERAL!B719</f>
        <v>0</v>
      </c>
      <c r="C912" s="5">
        <f>SUM(GENERAL!I721,GENERAL!M721,GENERAL!Q721,GENERAL!U721)</f>
        <v>0</v>
      </c>
    </row>
    <row r="913" spans="1:3" ht="12.75">
      <c r="A913" s="4">
        <v>198</v>
      </c>
      <c r="B913" s="4">
        <f>GENERAL!B720</f>
        <v>0</v>
      </c>
      <c r="C913" s="5">
        <f>SUM(GENERAL!I722,GENERAL!M722,GENERAL!Q722,GENERAL!U722)</f>
        <v>0</v>
      </c>
    </row>
    <row r="914" spans="1:3" ht="12.75">
      <c r="A914" s="4">
        <v>198</v>
      </c>
      <c r="B914" s="4">
        <f>GENERAL!B721</f>
        <v>0</v>
      </c>
      <c r="C914" s="5">
        <f>SUM(GENERAL!I723,GENERAL!M723,GENERAL!Q723,GENERAL!U723)</f>
        <v>0</v>
      </c>
    </row>
    <row r="915" spans="1:3" ht="12.75">
      <c r="A915" s="4">
        <v>198</v>
      </c>
      <c r="B915" s="4">
        <f>GENERAL!B722</f>
        <v>0</v>
      </c>
      <c r="C915" s="5">
        <f>SUM(GENERAL!I724,GENERAL!M724,GENERAL!Q724,GENERAL!U724)</f>
        <v>0</v>
      </c>
    </row>
    <row r="916" spans="1:3" ht="12.75">
      <c r="A916" s="4">
        <v>198</v>
      </c>
      <c r="B916" s="4">
        <f>GENERAL!B723</f>
        <v>0</v>
      </c>
      <c r="C916" s="5">
        <f>SUM(GENERAL!I725,GENERAL!M725,GENERAL!Q725,GENERAL!U725)</f>
        <v>0</v>
      </c>
    </row>
    <row r="917" spans="1:3" ht="12.75">
      <c r="A917" s="4">
        <v>198</v>
      </c>
      <c r="B917" s="4">
        <f>GENERAL!B724</f>
        <v>0</v>
      </c>
      <c r="C917" s="5">
        <f>SUM(GENERAL!I726,GENERAL!M726,GENERAL!Q726,GENERAL!U726)</f>
        <v>0</v>
      </c>
    </row>
    <row r="918" spans="1:3" ht="12.75">
      <c r="A918" s="4">
        <v>198</v>
      </c>
      <c r="B918" s="4">
        <f>GENERAL!B725</f>
        <v>0</v>
      </c>
      <c r="C918" s="5">
        <f>SUM(GENERAL!I727,GENERAL!M727,GENERAL!Q727,GENERAL!U727)</f>
        <v>0</v>
      </c>
    </row>
    <row r="919" spans="1:3" ht="12.75">
      <c r="A919" s="4">
        <v>198</v>
      </c>
      <c r="B919" s="4">
        <f>GENERAL!B726</f>
        <v>0</v>
      </c>
      <c r="C919" s="5">
        <f>SUM(GENERAL!I728,GENERAL!M728,GENERAL!Q728,GENERAL!U728)</f>
        <v>0</v>
      </c>
    </row>
    <row r="920" spans="1:3" ht="12.75">
      <c r="A920" s="4">
        <v>198</v>
      </c>
      <c r="B920" s="4">
        <f>GENERAL!B727</f>
        <v>0</v>
      </c>
      <c r="C920" s="5">
        <f>SUM(GENERAL!I729,GENERAL!M729,GENERAL!Q729,GENERAL!U729)</f>
        <v>0</v>
      </c>
    </row>
    <row r="921" spans="1:3" ht="12.75">
      <c r="A921" s="4">
        <v>198</v>
      </c>
      <c r="B921" s="4">
        <f>GENERAL!B728</f>
        <v>0</v>
      </c>
      <c r="C921" s="5">
        <f>SUM(GENERAL!I730,GENERAL!M730,GENERAL!Q730,GENERAL!U730)</f>
        <v>0</v>
      </c>
    </row>
    <row r="922" spans="1:3" ht="12.75">
      <c r="A922" s="4">
        <v>198</v>
      </c>
      <c r="B922" s="4">
        <f>GENERAL!B729</f>
        <v>0</v>
      </c>
      <c r="C922" s="5">
        <f>SUM(GENERAL!I731,GENERAL!M731,GENERAL!Q731,GENERAL!U731)</f>
        <v>0</v>
      </c>
    </row>
    <row r="923" spans="1:3" ht="12.75">
      <c r="A923" s="4">
        <v>198</v>
      </c>
      <c r="B923" s="4">
        <f>GENERAL!B730</f>
        <v>0</v>
      </c>
      <c r="C923" s="5">
        <f>SUM(GENERAL!I732,GENERAL!M732,GENERAL!Q732,GENERAL!U732)</f>
        <v>0</v>
      </c>
    </row>
    <row r="924" spans="1:3" ht="12.75">
      <c r="A924" s="4">
        <v>198</v>
      </c>
      <c r="B924" s="4">
        <f>GENERAL!B731</f>
        <v>0</v>
      </c>
      <c r="C924" s="5">
        <f>SUM(GENERAL!I733,GENERAL!M733,GENERAL!Q733,GENERAL!U733)</f>
        <v>0</v>
      </c>
    </row>
    <row r="925" spans="1:3" ht="12.75">
      <c r="A925" s="4">
        <v>198</v>
      </c>
      <c r="B925" s="4">
        <f>GENERAL!B732</f>
        <v>0</v>
      </c>
      <c r="C925" s="5">
        <f>SUM(GENERAL!I734,GENERAL!M734,GENERAL!Q734,GENERAL!U734)</f>
        <v>0</v>
      </c>
    </row>
    <row r="926" spans="1:3" ht="12.75">
      <c r="A926" s="4">
        <v>198</v>
      </c>
      <c r="B926" s="4">
        <f>GENERAL!B733</f>
        <v>0</v>
      </c>
      <c r="C926" s="5">
        <f>SUM(GENERAL!I735,GENERAL!M735,GENERAL!Q735,GENERAL!U735)</f>
        <v>0</v>
      </c>
    </row>
    <row r="927" spans="1:3" ht="12.75">
      <c r="A927" s="4">
        <v>198</v>
      </c>
      <c r="B927" s="4">
        <f>GENERAL!B734</f>
        <v>0</v>
      </c>
      <c r="C927" s="5">
        <f>SUM(GENERAL!I736,GENERAL!M736,GENERAL!Q736,GENERAL!U736)</f>
        <v>0</v>
      </c>
    </row>
    <row r="928" spans="1:3" ht="12.75">
      <c r="A928" s="4">
        <v>198</v>
      </c>
      <c r="B928" s="4">
        <f>GENERAL!B735</f>
        <v>0</v>
      </c>
      <c r="C928" s="5">
        <f>SUM(GENERAL!I737,GENERAL!M737,GENERAL!Q737,GENERAL!U737)</f>
        <v>0</v>
      </c>
    </row>
    <row r="929" spans="1:3" ht="12.75">
      <c r="A929" s="4">
        <v>198</v>
      </c>
      <c r="B929" s="4">
        <f>GENERAL!B736</f>
        <v>0</v>
      </c>
      <c r="C929" s="5">
        <f>SUM(GENERAL!I738,GENERAL!M738,GENERAL!Q738,GENERAL!U738)</f>
        <v>0</v>
      </c>
    </row>
    <row r="930" spans="1:3" ht="12.75">
      <c r="A930" s="4">
        <v>198</v>
      </c>
      <c r="B930" s="4">
        <f>GENERAL!B737</f>
        <v>0</v>
      </c>
      <c r="C930" s="5">
        <f>SUM(GENERAL!I739,GENERAL!M739,GENERAL!Q739,GENERAL!U739)</f>
        <v>0</v>
      </c>
    </row>
    <row r="931" spans="1:3" ht="12.75">
      <c r="A931" s="4">
        <v>198</v>
      </c>
      <c r="B931" s="4">
        <f>GENERAL!B738</f>
        <v>0</v>
      </c>
      <c r="C931" s="5">
        <f>SUM(GENERAL!I740,GENERAL!M740,GENERAL!Q740,GENERAL!U740)</f>
        <v>0</v>
      </c>
    </row>
    <row r="932" spans="1:3" ht="12.75">
      <c r="A932" s="4">
        <v>198</v>
      </c>
      <c r="B932" s="4">
        <f>GENERAL!B739</f>
        <v>0</v>
      </c>
      <c r="C932" s="5">
        <f>SUM(GENERAL!I741,GENERAL!M741,GENERAL!Q741,GENERAL!U741)</f>
        <v>0</v>
      </c>
    </row>
    <row r="933" spans="1:3" ht="12.75">
      <c r="A933" s="4">
        <v>198</v>
      </c>
      <c r="B933" s="4">
        <f>GENERAL!B740</f>
        <v>0</v>
      </c>
      <c r="C933" s="5">
        <f>SUM(GENERAL!I742,GENERAL!M742,GENERAL!Q742,GENERAL!U742)</f>
        <v>0</v>
      </c>
    </row>
    <row r="934" spans="1:3" ht="12.75">
      <c r="A934" s="4">
        <v>198</v>
      </c>
      <c r="B934" s="4">
        <f>GENERAL!B741</f>
        <v>0</v>
      </c>
      <c r="C934" s="5">
        <f>SUM(GENERAL!I743,GENERAL!M743,GENERAL!Q743,GENERAL!U743)</f>
        <v>0</v>
      </c>
    </row>
    <row r="935" spans="1:3" ht="12.75">
      <c r="A935" s="4">
        <v>198</v>
      </c>
      <c r="B935" s="4">
        <f>GENERAL!B742</f>
        <v>0</v>
      </c>
      <c r="C935" s="5">
        <f>SUM(GENERAL!I744,GENERAL!M744,GENERAL!Q744,GENERAL!U744)</f>
        <v>0</v>
      </c>
    </row>
    <row r="936" spans="1:3" ht="12.75">
      <c r="A936" s="4">
        <v>198</v>
      </c>
      <c r="B936" s="4">
        <f>GENERAL!B743</f>
        <v>0</v>
      </c>
      <c r="C936" s="5">
        <f>SUM(GENERAL!I745,GENERAL!M745,GENERAL!Q745,GENERAL!U745)</f>
        <v>0</v>
      </c>
    </row>
    <row r="937" spans="1:3" ht="12.75">
      <c r="A937" s="4">
        <v>198</v>
      </c>
      <c r="B937" s="4">
        <f>GENERAL!B744</f>
        <v>0</v>
      </c>
      <c r="C937" s="5">
        <f>SUM(GENERAL!I746,GENERAL!M746,GENERAL!Q746,GENERAL!U746)</f>
        <v>0</v>
      </c>
    </row>
    <row r="938" spans="1:3" ht="12.75">
      <c r="A938" s="4">
        <v>198</v>
      </c>
      <c r="B938" s="4">
        <f>GENERAL!B745</f>
        <v>0</v>
      </c>
      <c r="C938" s="5">
        <f>SUM(GENERAL!I747,GENERAL!M747,GENERAL!Q747,GENERAL!U747)</f>
        <v>0</v>
      </c>
    </row>
    <row r="939" spans="1:3" ht="12.75">
      <c r="A939" s="4">
        <v>198</v>
      </c>
      <c r="B939" s="4">
        <f>GENERAL!B746</f>
        <v>0</v>
      </c>
      <c r="C939" s="5">
        <f>SUM(GENERAL!I748,GENERAL!M748,GENERAL!Q748,GENERAL!U748)</f>
        <v>0</v>
      </c>
    </row>
    <row r="940" spans="1:3" ht="12.75">
      <c r="A940" s="4">
        <v>198</v>
      </c>
      <c r="B940" s="4">
        <f>GENERAL!B747</f>
        <v>0</v>
      </c>
      <c r="C940" s="5">
        <f>SUM(GENERAL!I749,GENERAL!M749,GENERAL!Q749,GENERAL!U749)</f>
        <v>0</v>
      </c>
    </row>
    <row r="941" spans="1:3" ht="12.75">
      <c r="A941" s="4">
        <v>198</v>
      </c>
      <c r="B941" s="4">
        <f>GENERAL!B748</f>
        <v>0</v>
      </c>
      <c r="C941" s="5">
        <f>SUM(GENERAL!I750,GENERAL!M750,GENERAL!Q750,GENERAL!U750)</f>
        <v>0</v>
      </c>
    </row>
    <row r="942" spans="1:3" ht="12.75">
      <c r="A942" s="4">
        <v>198</v>
      </c>
      <c r="B942" s="4">
        <f>GENERAL!B749</f>
        <v>0</v>
      </c>
      <c r="C942" s="5">
        <f>SUM(GENERAL!I751,GENERAL!M751,GENERAL!Q751,GENERAL!U751)</f>
        <v>0</v>
      </c>
    </row>
    <row r="943" spans="1:3" ht="12.75">
      <c r="A943" s="4">
        <v>198</v>
      </c>
      <c r="B943" s="4">
        <f>GENERAL!B750</f>
        <v>0</v>
      </c>
      <c r="C943" s="5">
        <f>SUM(GENERAL!I752,GENERAL!M752,GENERAL!Q752,GENERAL!U752)</f>
        <v>0</v>
      </c>
    </row>
    <row r="944" spans="1:3" ht="12.75">
      <c r="A944" s="4">
        <v>198</v>
      </c>
      <c r="B944" s="4">
        <f>GENERAL!B751</f>
        <v>0</v>
      </c>
      <c r="C944" s="5">
        <f>SUM(GENERAL!I753,GENERAL!M753,GENERAL!Q753,GENERAL!U753)</f>
        <v>0</v>
      </c>
    </row>
    <row r="945" spans="1:3" ht="12.75">
      <c r="A945" s="4">
        <v>198</v>
      </c>
      <c r="B945" s="4">
        <f>GENERAL!B752</f>
        <v>0</v>
      </c>
      <c r="C945" s="5">
        <f>SUM(GENERAL!I754,GENERAL!M754,GENERAL!Q754,GENERAL!U754)</f>
        <v>0</v>
      </c>
    </row>
    <row r="946" spans="1:3" ht="12.75">
      <c r="A946" s="4">
        <v>198</v>
      </c>
      <c r="B946" s="4">
        <f>GENERAL!B753</f>
        <v>0</v>
      </c>
      <c r="C946" s="5">
        <f>SUM(GENERAL!I755,GENERAL!M755,GENERAL!Q755,GENERAL!U755)</f>
        <v>0</v>
      </c>
    </row>
    <row r="947" spans="1:3" ht="12.75">
      <c r="A947" s="4">
        <v>198</v>
      </c>
      <c r="B947" s="4">
        <f>GENERAL!B754</f>
        <v>0</v>
      </c>
      <c r="C947" s="5">
        <f>SUM(GENERAL!I756,GENERAL!M756,GENERAL!Q756,GENERAL!U756)</f>
        <v>0</v>
      </c>
    </row>
    <row r="948" spans="1:3" ht="12.75">
      <c r="A948" s="4">
        <v>198</v>
      </c>
      <c r="B948" s="4">
        <f>GENERAL!B755</f>
        <v>0</v>
      </c>
      <c r="C948" s="5">
        <f>SUM(GENERAL!I757,GENERAL!M757,GENERAL!Q757,GENERAL!U757)</f>
        <v>0</v>
      </c>
    </row>
    <row r="949" spans="1:3" ht="12.75">
      <c r="A949" s="4">
        <v>198</v>
      </c>
      <c r="B949" s="4">
        <f>GENERAL!B756</f>
        <v>0</v>
      </c>
      <c r="C949" s="5">
        <f>SUM(GENERAL!I758,GENERAL!M758,GENERAL!Q758,GENERAL!U758)</f>
        <v>0</v>
      </c>
    </row>
    <row r="950" spans="1:3" ht="12.75">
      <c r="A950" s="4">
        <v>198</v>
      </c>
      <c r="B950" s="4">
        <f>GENERAL!B757</f>
        <v>0</v>
      </c>
      <c r="C950" s="5">
        <f>SUM(GENERAL!I759,GENERAL!M759,GENERAL!Q759,GENERAL!U759)</f>
        <v>0</v>
      </c>
    </row>
    <row r="951" spans="1:3" ht="12.75">
      <c r="A951" s="4">
        <v>198</v>
      </c>
      <c r="B951" s="4">
        <f>GENERAL!B758</f>
        <v>0</v>
      </c>
      <c r="C951" s="5">
        <f>SUM(GENERAL!I760,GENERAL!M760,GENERAL!Q760,GENERAL!U760)</f>
        <v>0</v>
      </c>
    </row>
    <row r="952" spans="1:3" ht="12.75">
      <c r="A952" s="4">
        <v>198</v>
      </c>
      <c r="B952" s="4">
        <f>GENERAL!B759</f>
        <v>0</v>
      </c>
      <c r="C952" s="5">
        <f>SUM(GENERAL!I761,GENERAL!M761,GENERAL!Q761,GENERAL!U761)</f>
        <v>0</v>
      </c>
    </row>
    <row r="953" spans="1:3" ht="12.75">
      <c r="A953" s="4">
        <v>198</v>
      </c>
      <c r="B953" s="4">
        <f>GENERAL!B760</f>
        <v>0</v>
      </c>
      <c r="C953" s="5">
        <f>SUM(GENERAL!I762,GENERAL!M762,GENERAL!Q762,GENERAL!U762)</f>
        <v>0</v>
      </c>
    </row>
    <row r="954" spans="1:3" ht="12.75">
      <c r="A954" s="4">
        <v>198</v>
      </c>
      <c r="B954" s="4">
        <f>GENERAL!B761</f>
        <v>0</v>
      </c>
      <c r="C954" s="5">
        <f>SUM(GENERAL!I763,GENERAL!M763,GENERAL!Q763,GENERAL!U763)</f>
        <v>0</v>
      </c>
    </row>
    <row r="955" spans="1:3" ht="12.75">
      <c r="A955" s="4">
        <v>198</v>
      </c>
      <c r="B955" s="4">
        <f>GENERAL!B762</f>
        <v>0</v>
      </c>
      <c r="C955" s="5">
        <f>SUM(GENERAL!I764,GENERAL!M764,GENERAL!Q764,GENERAL!U764)</f>
        <v>0</v>
      </c>
    </row>
    <row r="956" spans="1:3" ht="12.75">
      <c r="A956" s="4">
        <v>198</v>
      </c>
      <c r="B956" s="4">
        <f>GENERAL!B763</f>
        <v>0</v>
      </c>
      <c r="C956" s="5">
        <f>SUM(GENERAL!I765,GENERAL!M765,GENERAL!Q765,GENERAL!U765)</f>
        <v>0</v>
      </c>
    </row>
    <row r="957" spans="1:3" ht="12.75">
      <c r="A957" s="4">
        <v>198</v>
      </c>
      <c r="B957" s="4">
        <f>GENERAL!B764</f>
        <v>0</v>
      </c>
      <c r="C957" s="5">
        <f>SUM(GENERAL!I766,GENERAL!M766,GENERAL!Q766,GENERAL!U766)</f>
        <v>0</v>
      </c>
    </row>
    <row r="958" spans="1:3" ht="12.75">
      <c r="A958" s="4">
        <v>198</v>
      </c>
      <c r="B958" s="4">
        <f>GENERAL!B765</f>
        <v>0</v>
      </c>
      <c r="C958" s="5">
        <f>SUM(GENERAL!I767,GENERAL!M767,GENERAL!Q767,GENERAL!U767)</f>
        <v>0</v>
      </c>
    </row>
    <row r="959" spans="1:3" ht="12.75">
      <c r="A959" s="4">
        <v>198</v>
      </c>
      <c r="B959" s="4">
        <f>GENERAL!B766</f>
        <v>0</v>
      </c>
      <c r="C959" s="5">
        <f>SUM(GENERAL!I768,GENERAL!M768,GENERAL!Q768,GENERAL!U768)</f>
        <v>0</v>
      </c>
    </row>
    <row r="960" spans="1:3" ht="12.75">
      <c r="A960" s="4">
        <v>198</v>
      </c>
      <c r="B960" s="4">
        <f>GENERAL!B767</f>
        <v>0</v>
      </c>
      <c r="C960" s="5">
        <f>SUM(GENERAL!I769,GENERAL!M769,GENERAL!Q769,GENERAL!U769)</f>
        <v>0</v>
      </c>
    </row>
    <row r="961" spans="1:3" ht="12.75">
      <c r="A961" s="4">
        <v>198</v>
      </c>
      <c r="B961" s="4">
        <f>GENERAL!B768</f>
        <v>0</v>
      </c>
      <c r="C961" s="5">
        <f>SUM(GENERAL!I770,GENERAL!M770,GENERAL!Q770,GENERAL!U770)</f>
        <v>0</v>
      </c>
    </row>
    <row r="962" spans="1:3" ht="12.75">
      <c r="A962" s="4">
        <v>198</v>
      </c>
      <c r="B962" s="4">
        <f>GENERAL!B769</f>
        <v>0</v>
      </c>
      <c r="C962" s="5">
        <f>SUM(GENERAL!I771,GENERAL!M771,GENERAL!Q771,GENERAL!U771)</f>
        <v>0</v>
      </c>
    </row>
    <row r="963" spans="1:3" ht="12.75">
      <c r="A963" s="4">
        <v>198</v>
      </c>
      <c r="B963" s="4">
        <f>GENERAL!B770</f>
        <v>0</v>
      </c>
      <c r="C963" s="5">
        <f>SUM(GENERAL!I772,GENERAL!M772,GENERAL!Q772,GENERAL!U772)</f>
        <v>0</v>
      </c>
    </row>
    <row r="964" spans="1:3" ht="12.75">
      <c r="A964" s="4">
        <v>198</v>
      </c>
      <c r="B964" s="4">
        <f>GENERAL!B771</f>
        <v>0</v>
      </c>
      <c r="C964" s="5">
        <f>SUM(GENERAL!I773,GENERAL!M773,GENERAL!Q773,GENERAL!U773)</f>
        <v>0</v>
      </c>
    </row>
    <row r="965" spans="1:3" ht="12.75">
      <c r="A965" s="4">
        <v>198</v>
      </c>
      <c r="B965" s="4">
        <f>GENERAL!B772</f>
        <v>0</v>
      </c>
      <c r="C965" s="5">
        <f>SUM(GENERAL!I774,GENERAL!M774,GENERAL!Q774,GENERAL!U774)</f>
        <v>0</v>
      </c>
    </row>
    <row r="966" spans="1:3" ht="12.75">
      <c r="A966" s="4">
        <v>198</v>
      </c>
      <c r="B966" s="4">
        <f>GENERAL!B773</f>
        <v>0</v>
      </c>
      <c r="C966" s="5">
        <f>SUM(GENERAL!I775,GENERAL!M775,GENERAL!Q775,GENERAL!U775)</f>
        <v>0</v>
      </c>
    </row>
    <row r="967" spans="1:3" ht="12.75">
      <c r="A967" s="4">
        <v>198</v>
      </c>
      <c r="B967" s="4">
        <f>GENERAL!B774</f>
        <v>0</v>
      </c>
      <c r="C967" s="5">
        <f>SUM(GENERAL!I776,GENERAL!M776,GENERAL!Q776,GENERAL!U776)</f>
        <v>0</v>
      </c>
    </row>
    <row r="968" spans="1:3" ht="12.75">
      <c r="A968" s="4">
        <v>198</v>
      </c>
      <c r="B968" s="4">
        <f>GENERAL!B775</f>
        <v>0</v>
      </c>
      <c r="C968" s="5">
        <f>SUM(GENERAL!I777,GENERAL!M777,GENERAL!Q777,GENERAL!U777)</f>
        <v>0</v>
      </c>
    </row>
    <row r="969" spans="1:3" ht="12.75">
      <c r="A969" s="4">
        <v>198</v>
      </c>
      <c r="B969" s="4">
        <f>GENERAL!B776</f>
        <v>0</v>
      </c>
      <c r="C969" s="5">
        <f>SUM(GENERAL!I778,GENERAL!M778,GENERAL!Q778,GENERAL!U778)</f>
        <v>0</v>
      </c>
    </row>
    <row r="970" spans="1:3" ht="12.75">
      <c r="A970" s="4">
        <v>198</v>
      </c>
      <c r="B970" s="4">
        <f>GENERAL!B777</f>
        <v>0</v>
      </c>
      <c r="C970" s="5">
        <f>SUM(GENERAL!I779,GENERAL!M779,GENERAL!Q779,GENERAL!U779)</f>
        <v>0</v>
      </c>
    </row>
    <row r="971" spans="1:3" ht="12.75">
      <c r="A971" s="4">
        <v>198</v>
      </c>
      <c r="B971" s="4">
        <f>GENERAL!B778</f>
        <v>0</v>
      </c>
      <c r="C971" s="5">
        <f>SUM(GENERAL!I780,GENERAL!M780,GENERAL!Q780,GENERAL!U780)</f>
        <v>0</v>
      </c>
    </row>
    <row r="972" spans="1:3" ht="12.75">
      <c r="A972" s="4">
        <v>198</v>
      </c>
      <c r="B972" s="4">
        <f>GENERAL!B779</f>
        <v>0</v>
      </c>
      <c r="C972" s="5">
        <f>SUM(GENERAL!I781,GENERAL!M781,GENERAL!Q781,GENERAL!U781)</f>
        <v>0</v>
      </c>
    </row>
    <row r="973" spans="1:3" ht="12.75">
      <c r="A973" s="4">
        <v>198</v>
      </c>
      <c r="B973" s="4">
        <f>GENERAL!B780</f>
        <v>0</v>
      </c>
      <c r="C973" s="5">
        <f>SUM(GENERAL!I782,GENERAL!M782,GENERAL!Q782,GENERAL!U782)</f>
        <v>0</v>
      </c>
    </row>
    <row r="974" spans="1:3" ht="12.75">
      <c r="A974" s="4">
        <v>198</v>
      </c>
      <c r="B974" s="4">
        <f>GENERAL!B781</f>
        <v>0</v>
      </c>
      <c r="C974" s="5">
        <f>SUM(GENERAL!I783,GENERAL!M783,GENERAL!Q783,GENERAL!U783)</f>
        <v>0</v>
      </c>
    </row>
    <row r="975" spans="1:3" ht="12.75">
      <c r="A975" s="4">
        <v>198</v>
      </c>
      <c r="B975" s="4">
        <f>GENERAL!B782</f>
        <v>0</v>
      </c>
      <c r="C975" s="5">
        <f>SUM(GENERAL!I784,GENERAL!M784,GENERAL!Q784,GENERAL!U784)</f>
        <v>0</v>
      </c>
    </row>
    <row r="976" spans="1:3" ht="12.75">
      <c r="A976" s="4">
        <v>198</v>
      </c>
      <c r="B976" s="4">
        <f>GENERAL!B783</f>
        <v>0</v>
      </c>
      <c r="C976" s="5">
        <f>SUM(GENERAL!I785,GENERAL!M785,GENERAL!Q785,GENERAL!U785)</f>
        <v>0</v>
      </c>
    </row>
    <row r="977" spans="1:3" ht="12.75">
      <c r="A977" s="4">
        <v>198</v>
      </c>
      <c r="B977" s="4">
        <f>GENERAL!B784</f>
        <v>0</v>
      </c>
      <c r="C977" s="5">
        <f>SUM(GENERAL!I786,GENERAL!M786,GENERAL!Q786,GENERAL!U786)</f>
        <v>0</v>
      </c>
    </row>
    <row r="978" spans="1:3" ht="12.75">
      <c r="A978" s="4">
        <v>198</v>
      </c>
      <c r="B978" s="4">
        <f>GENERAL!B785</f>
        <v>0</v>
      </c>
      <c r="C978" s="5">
        <f>SUM(GENERAL!I787,GENERAL!M787,GENERAL!Q787,GENERAL!U787)</f>
        <v>0</v>
      </c>
    </row>
    <row r="979" spans="1:3" ht="12.75">
      <c r="A979" s="4">
        <v>198</v>
      </c>
      <c r="B979" s="4">
        <f>GENERAL!B786</f>
        <v>0</v>
      </c>
      <c r="C979" s="5">
        <f>SUM(GENERAL!I788,GENERAL!M788,GENERAL!Q788,GENERAL!U788)</f>
        <v>0</v>
      </c>
    </row>
    <row r="980" spans="1:3" ht="12.75">
      <c r="A980" s="4">
        <v>198</v>
      </c>
      <c r="B980" s="4">
        <f>GENERAL!B787</f>
        <v>0</v>
      </c>
      <c r="C980" s="5">
        <f>SUM(GENERAL!I789,GENERAL!M789,GENERAL!Q789,GENERAL!U789)</f>
        <v>0</v>
      </c>
    </row>
    <row r="981" spans="1:3" ht="12.75">
      <c r="A981" s="4">
        <v>198</v>
      </c>
      <c r="B981" s="4">
        <f>GENERAL!B788</f>
        <v>0</v>
      </c>
      <c r="C981" s="5">
        <f>SUM(GENERAL!I790,GENERAL!M790,GENERAL!Q790,GENERAL!U790)</f>
        <v>0</v>
      </c>
    </row>
    <row r="982" spans="1:3" ht="12.75">
      <c r="A982" s="4">
        <v>198</v>
      </c>
      <c r="B982" s="4">
        <f>GENERAL!B789</f>
        <v>0</v>
      </c>
      <c r="C982" s="5">
        <f>SUM(GENERAL!I791,GENERAL!M791,GENERAL!Q791,GENERAL!U791)</f>
        <v>0</v>
      </c>
    </row>
    <row r="983" spans="1:3" ht="12.75">
      <c r="A983" s="4">
        <v>198</v>
      </c>
      <c r="B983" s="4">
        <f>GENERAL!B790</f>
        <v>0</v>
      </c>
      <c r="C983" s="5">
        <f>SUM(GENERAL!I792,GENERAL!M792,GENERAL!Q792,GENERAL!U792)</f>
        <v>0</v>
      </c>
    </row>
    <row r="984" spans="1:3" ht="12.75">
      <c r="A984" s="4">
        <v>198</v>
      </c>
      <c r="B984" s="4">
        <f>GENERAL!B791</f>
        <v>0</v>
      </c>
      <c r="C984" s="5">
        <f>SUM(GENERAL!I793,GENERAL!M793,GENERAL!Q793,GENERAL!U793)</f>
        <v>0</v>
      </c>
    </row>
    <row r="985" spans="1:3" ht="12.75">
      <c r="A985" s="4">
        <v>198</v>
      </c>
      <c r="B985" s="4">
        <f>GENERAL!B792</f>
        <v>0</v>
      </c>
      <c r="C985" s="5">
        <f>SUM(GENERAL!I794,GENERAL!M794,GENERAL!Q794,GENERAL!U794)</f>
        <v>0</v>
      </c>
    </row>
    <row r="986" spans="1:3" ht="12.75">
      <c r="A986" s="4">
        <v>198</v>
      </c>
      <c r="B986" s="4">
        <f>GENERAL!B793</f>
        <v>0</v>
      </c>
      <c r="C986" s="5">
        <f>SUM(GENERAL!I795,GENERAL!M795,GENERAL!Q795,GENERAL!U795)</f>
        <v>0</v>
      </c>
    </row>
    <row r="987" spans="1:3" ht="12.75">
      <c r="A987" s="4">
        <v>198</v>
      </c>
      <c r="B987" s="4">
        <f>GENERAL!B794</f>
        <v>0</v>
      </c>
      <c r="C987" s="5">
        <f>SUM(GENERAL!I796,GENERAL!M796,GENERAL!Q796,GENERAL!U796)</f>
        <v>0</v>
      </c>
    </row>
    <row r="988" spans="1:3" ht="12.75">
      <c r="A988" s="4">
        <v>198</v>
      </c>
      <c r="B988" s="4">
        <f>GENERAL!B795</f>
        <v>0</v>
      </c>
      <c r="C988" s="5">
        <f>SUM(GENERAL!I797,GENERAL!M797,GENERAL!Q797,GENERAL!U797)</f>
        <v>0</v>
      </c>
    </row>
    <row r="989" spans="1:3" ht="12.75">
      <c r="A989" s="4">
        <v>198</v>
      </c>
      <c r="B989" s="4">
        <f>GENERAL!B796</f>
        <v>0</v>
      </c>
      <c r="C989" s="5">
        <f>SUM(GENERAL!I798,GENERAL!M798,GENERAL!Q798,GENERAL!U798)</f>
        <v>0</v>
      </c>
    </row>
    <row r="990" spans="1:3" ht="12.75">
      <c r="A990" s="4">
        <v>198</v>
      </c>
      <c r="B990" s="4">
        <f>GENERAL!B797</f>
        <v>0</v>
      </c>
      <c r="C990" s="5">
        <f>SUM(GENERAL!I799,GENERAL!M799,GENERAL!Q799,GENERAL!U799)</f>
        <v>0</v>
      </c>
    </row>
    <row r="991" spans="1:3" ht="12.75">
      <c r="A991" s="4">
        <v>198</v>
      </c>
      <c r="B991" s="4">
        <f>GENERAL!B798</f>
        <v>0</v>
      </c>
      <c r="C991" s="5">
        <f>SUM(GENERAL!I800,GENERAL!M800,GENERAL!Q800,GENERAL!U800)</f>
        <v>0</v>
      </c>
    </row>
    <row r="992" spans="1:3" ht="12.75">
      <c r="A992" s="4">
        <v>198</v>
      </c>
      <c r="B992" s="4">
        <f>GENERAL!B799</f>
        <v>0</v>
      </c>
      <c r="C992" s="5">
        <f>SUM(GENERAL!I801,GENERAL!M801,GENERAL!Q801,GENERAL!U801)</f>
        <v>0</v>
      </c>
    </row>
    <row r="993" spans="1:3" ht="12.75">
      <c r="A993" s="4">
        <v>198</v>
      </c>
      <c r="B993" s="4">
        <f>GENERAL!B800</f>
        <v>0</v>
      </c>
      <c r="C993" s="5">
        <f>SUM(GENERAL!I802,GENERAL!M802,GENERAL!Q802,GENERAL!U802)</f>
        <v>0</v>
      </c>
    </row>
    <row r="994" spans="1:3" ht="12.75">
      <c r="A994" s="4">
        <v>198</v>
      </c>
      <c r="B994" s="4">
        <f>GENERAL!B801</f>
        <v>0</v>
      </c>
      <c r="C994" s="5">
        <f>SUM(GENERAL!I803,GENERAL!M803,GENERAL!Q803,GENERAL!U803)</f>
        <v>0</v>
      </c>
    </row>
    <row r="995" spans="1:3" ht="12.75">
      <c r="A995" s="4">
        <v>198</v>
      </c>
      <c r="B995" s="4">
        <f>GENERAL!B802</f>
        <v>0</v>
      </c>
      <c r="C995" s="5">
        <f>SUM(GENERAL!I804,GENERAL!M804,GENERAL!Q804,GENERAL!U804)</f>
        <v>0</v>
      </c>
    </row>
    <row r="996" spans="1:3" ht="12.75">
      <c r="A996" s="4">
        <v>198</v>
      </c>
      <c r="B996" s="4">
        <f>GENERAL!B803</f>
        <v>0</v>
      </c>
      <c r="C996" s="5">
        <f>SUM(GENERAL!I805,GENERAL!M805,GENERAL!Q805,GENERAL!U805)</f>
        <v>0</v>
      </c>
    </row>
    <row r="997" spans="1:3" ht="12.75">
      <c r="A997" s="4">
        <v>198</v>
      </c>
      <c r="B997" s="4">
        <f>GENERAL!B804</f>
        <v>0</v>
      </c>
      <c r="C997" s="5">
        <f>SUM(GENERAL!I806,GENERAL!M806,GENERAL!Q806,GENERAL!U806)</f>
        <v>0</v>
      </c>
    </row>
    <row r="998" spans="1:3" ht="12.75">
      <c r="A998" s="4">
        <v>198</v>
      </c>
      <c r="B998" s="4">
        <f>GENERAL!B805</f>
        <v>0</v>
      </c>
      <c r="C998" s="5">
        <f>SUM(GENERAL!I807,GENERAL!M807,GENERAL!Q807,GENERAL!U807)</f>
        <v>0</v>
      </c>
    </row>
    <row r="999" spans="1:3" ht="12.75">
      <c r="A999" s="4">
        <v>198</v>
      </c>
      <c r="B999" s="4">
        <f>GENERAL!B806</f>
        <v>0</v>
      </c>
      <c r="C999" s="5">
        <f>SUM(GENERAL!I808,GENERAL!M808,GENERAL!Q808,GENERAL!U808)</f>
        <v>0</v>
      </c>
    </row>
    <row r="1000" spans="1:3" ht="12.75">
      <c r="A1000" s="4">
        <v>198</v>
      </c>
      <c r="B1000" s="4">
        <f>GENERAL!B807</f>
        <v>0</v>
      </c>
      <c r="C1000" s="5">
        <f>SUM(GENERAL!I809,GENERAL!M809,GENERAL!Q809,GENERAL!U809)</f>
        <v>0</v>
      </c>
    </row>
    <row r="1001" spans="1:3" ht="12.75">
      <c r="A1001" s="4">
        <v>198</v>
      </c>
      <c r="B1001" s="4">
        <f>GENERAL!B808</f>
        <v>0</v>
      </c>
      <c r="C1001" s="5">
        <f>SUM(GENERAL!I810,GENERAL!M810,GENERAL!Q810,GENERAL!U810)</f>
        <v>0</v>
      </c>
    </row>
    <row r="1002" spans="1:3" ht="12.75">
      <c r="A1002" s="4">
        <v>198</v>
      </c>
      <c r="B1002" s="4">
        <f>GENERAL!B809</f>
        <v>0</v>
      </c>
      <c r="C1002" s="5">
        <f>SUM(GENERAL!I811,GENERAL!M811,GENERAL!Q811,GENERAL!U811)</f>
        <v>0</v>
      </c>
    </row>
    <row r="1003" spans="1:3" ht="12.75">
      <c r="A1003" s="4">
        <v>198</v>
      </c>
      <c r="B1003" s="4">
        <f>GENERAL!B810</f>
        <v>0</v>
      </c>
      <c r="C1003" s="5">
        <f>SUM(GENERAL!I812,GENERAL!M812,GENERAL!Q812,GENERAL!U812)</f>
        <v>0</v>
      </c>
    </row>
    <row r="1004" spans="1:3" ht="12.75">
      <c r="A1004" s="4">
        <v>198</v>
      </c>
      <c r="B1004" s="4">
        <f>GENERAL!B811</f>
        <v>0</v>
      </c>
      <c r="C1004" s="5">
        <f>SUM(GENERAL!I813,GENERAL!M813,GENERAL!Q813,GENERAL!U813)</f>
        <v>0</v>
      </c>
    </row>
    <row r="1005" spans="1:3" ht="12.75">
      <c r="A1005" s="4">
        <v>198</v>
      </c>
      <c r="B1005" s="4">
        <f>GENERAL!B812</f>
        <v>0</v>
      </c>
      <c r="C1005" s="5">
        <f>SUM(GENERAL!I814,GENERAL!M814,GENERAL!Q814,GENERAL!U814)</f>
        <v>0</v>
      </c>
    </row>
    <row r="1006" spans="1:3" ht="12.75">
      <c r="A1006" s="4">
        <v>198</v>
      </c>
      <c r="B1006" s="4">
        <f>GENERAL!B813</f>
        <v>0</v>
      </c>
      <c r="C1006" s="5">
        <f>SUM(GENERAL!I815,GENERAL!M815,GENERAL!Q815,GENERAL!U815)</f>
        <v>0</v>
      </c>
    </row>
    <row r="1007" spans="1:3" ht="12.75">
      <c r="A1007" s="4">
        <v>198</v>
      </c>
      <c r="B1007" s="4">
        <f>GENERAL!B814</f>
        <v>0</v>
      </c>
      <c r="C1007" s="5">
        <f>SUM(GENERAL!I816,GENERAL!M816,GENERAL!Q816,GENERAL!U816)</f>
        <v>0</v>
      </c>
    </row>
    <row r="1008" spans="1:3" ht="12.75">
      <c r="A1008" s="4">
        <v>198</v>
      </c>
      <c r="B1008" s="4">
        <f>GENERAL!B815</f>
        <v>0</v>
      </c>
      <c r="C1008" s="5">
        <f>SUM(GENERAL!I817,GENERAL!M817,GENERAL!Q817,GENERAL!U817)</f>
        <v>0</v>
      </c>
    </row>
    <row r="1009" spans="1:3" ht="12.75">
      <c r="A1009" s="4">
        <v>198</v>
      </c>
      <c r="B1009" s="4">
        <f>GENERAL!B816</f>
        <v>0</v>
      </c>
      <c r="C1009" s="5">
        <f>SUM(GENERAL!I818,GENERAL!M818,GENERAL!Q818,GENERAL!U818)</f>
        <v>0</v>
      </c>
    </row>
    <row r="1010" spans="1:3" ht="12.75">
      <c r="A1010" s="4">
        <v>198</v>
      </c>
      <c r="B1010" s="4">
        <f>GENERAL!B817</f>
        <v>0</v>
      </c>
      <c r="C1010" s="5">
        <f>SUM(GENERAL!I819,GENERAL!M819,GENERAL!Q819,GENERAL!U819)</f>
        <v>0</v>
      </c>
    </row>
    <row r="1011" spans="1:3" ht="12.75">
      <c r="A1011" s="4">
        <v>198</v>
      </c>
      <c r="B1011" s="4">
        <f>GENERAL!B818</f>
        <v>0</v>
      </c>
      <c r="C1011" s="5">
        <f>SUM(GENERAL!I820,GENERAL!M820,GENERAL!Q820,GENERAL!U820)</f>
        <v>0</v>
      </c>
    </row>
    <row r="1012" spans="1:3" ht="12.75">
      <c r="A1012" s="4">
        <v>198</v>
      </c>
      <c r="B1012" s="4">
        <f>GENERAL!B819</f>
        <v>0</v>
      </c>
      <c r="C1012" s="5">
        <f>SUM(GENERAL!I821,GENERAL!M821,GENERAL!Q821,GENERAL!U821)</f>
        <v>0</v>
      </c>
    </row>
    <row r="1013" spans="1:3" ht="12.75">
      <c r="A1013" s="4">
        <v>198</v>
      </c>
      <c r="B1013" s="4">
        <f>GENERAL!B820</f>
        <v>0</v>
      </c>
      <c r="C1013" s="5">
        <f>SUM(GENERAL!I822,GENERAL!M822,GENERAL!Q822,GENERAL!U822)</f>
        <v>0</v>
      </c>
    </row>
    <row r="1014" spans="1:3" ht="12.75">
      <c r="A1014" s="4">
        <v>198</v>
      </c>
      <c r="B1014" s="4">
        <f>GENERAL!B821</f>
        <v>0</v>
      </c>
      <c r="C1014" s="5">
        <f>SUM(GENERAL!I823,GENERAL!M823,GENERAL!Q823,GENERAL!U823)</f>
        <v>0</v>
      </c>
    </row>
    <row r="1015" spans="1:3" ht="12.75">
      <c r="A1015" s="4">
        <v>198</v>
      </c>
      <c r="B1015" s="4">
        <f>GENERAL!B822</f>
        <v>0</v>
      </c>
      <c r="C1015" s="5">
        <f>SUM(GENERAL!I824,GENERAL!M824,GENERAL!Q824,GENERAL!U824)</f>
        <v>0</v>
      </c>
    </row>
    <row r="1016" spans="1:3" ht="12.75">
      <c r="A1016" s="4">
        <v>198</v>
      </c>
      <c r="B1016" s="4">
        <f>GENERAL!B823</f>
        <v>0</v>
      </c>
      <c r="C1016" s="5">
        <f>SUM(GENERAL!I825,GENERAL!M825,GENERAL!Q825,GENERAL!U825)</f>
        <v>0</v>
      </c>
    </row>
    <row r="1017" spans="1:3" ht="12.75">
      <c r="A1017" s="4">
        <v>198</v>
      </c>
      <c r="B1017" s="4">
        <f>GENERAL!B824</f>
        <v>0</v>
      </c>
      <c r="C1017" s="5">
        <f>SUM(GENERAL!I826,GENERAL!M826,GENERAL!Q826,GENERAL!U826)</f>
        <v>0</v>
      </c>
    </row>
    <row r="1018" spans="1:3" ht="12.75">
      <c r="A1018" s="4">
        <v>198</v>
      </c>
      <c r="B1018" s="4">
        <f>GENERAL!B825</f>
        <v>0</v>
      </c>
      <c r="C1018" s="5">
        <f>SUM(GENERAL!I827,GENERAL!M827,GENERAL!Q827,GENERAL!U827)</f>
        <v>0</v>
      </c>
    </row>
    <row r="1019" spans="1:3" ht="12.75">
      <c r="A1019" s="4">
        <v>198</v>
      </c>
      <c r="B1019" s="4">
        <f>GENERAL!B826</f>
        <v>0</v>
      </c>
      <c r="C1019" s="5">
        <f>SUM(GENERAL!I828,GENERAL!M828,GENERAL!Q828,GENERAL!U828)</f>
        <v>0</v>
      </c>
    </row>
    <row r="1020" spans="1:3" ht="12.75">
      <c r="A1020" s="4">
        <v>198</v>
      </c>
      <c r="B1020" s="4">
        <f>GENERAL!B827</f>
        <v>0</v>
      </c>
      <c r="C1020" s="5">
        <f>SUM(GENERAL!I829,GENERAL!M829,GENERAL!Q829,GENERAL!U829)</f>
        <v>0</v>
      </c>
    </row>
    <row r="1021" spans="1:3" ht="12.75">
      <c r="A1021" s="4">
        <v>198</v>
      </c>
      <c r="B1021" s="4">
        <f>GENERAL!B828</f>
        <v>0</v>
      </c>
      <c r="C1021" s="5">
        <f>SUM(GENERAL!I830,GENERAL!M830,GENERAL!Q830,GENERAL!U830)</f>
        <v>0</v>
      </c>
    </row>
    <row r="1022" spans="1:3" ht="12.75">
      <c r="A1022" s="4">
        <v>198</v>
      </c>
      <c r="B1022" s="4">
        <f>GENERAL!B829</f>
        <v>0</v>
      </c>
      <c r="C1022" s="5">
        <f>SUM(GENERAL!I831,GENERAL!M831,GENERAL!Q831,GENERAL!U831)</f>
        <v>0</v>
      </c>
    </row>
    <row r="1023" spans="1:3" ht="12.75">
      <c r="A1023" s="4">
        <v>198</v>
      </c>
      <c r="B1023" s="4">
        <f>GENERAL!B830</f>
        <v>0</v>
      </c>
      <c r="C1023" s="5">
        <f>SUM(GENERAL!I832,GENERAL!M832,GENERAL!Q832,GENERAL!U832)</f>
        <v>0</v>
      </c>
    </row>
    <row r="1024" spans="1:3" ht="12.75">
      <c r="A1024" s="4">
        <v>198</v>
      </c>
      <c r="B1024" s="4">
        <f>GENERAL!B831</f>
        <v>0</v>
      </c>
      <c r="C1024" s="5">
        <f>SUM(GENERAL!I833,GENERAL!M833,GENERAL!Q833,GENERAL!U833)</f>
        <v>0</v>
      </c>
    </row>
    <row r="1025" spans="1:3" ht="12.75">
      <c r="A1025" s="4">
        <v>198</v>
      </c>
      <c r="B1025" s="4">
        <f>GENERAL!B832</f>
        <v>0</v>
      </c>
      <c r="C1025" s="5">
        <f>SUM(GENERAL!I834,GENERAL!M834,GENERAL!Q834,GENERAL!U834)</f>
        <v>0</v>
      </c>
    </row>
    <row r="1026" spans="1:3" ht="12.75">
      <c r="A1026" s="4">
        <v>198</v>
      </c>
      <c r="B1026" s="4">
        <f>GENERAL!B833</f>
        <v>0</v>
      </c>
      <c r="C1026" s="5">
        <f>SUM(GENERAL!I835,GENERAL!M835,GENERAL!Q835,GENERAL!U835)</f>
        <v>0</v>
      </c>
    </row>
    <row r="1027" spans="1:3" ht="12.75">
      <c r="A1027" s="4">
        <v>198</v>
      </c>
      <c r="B1027" s="4">
        <f>GENERAL!B834</f>
        <v>0</v>
      </c>
      <c r="C1027" s="5">
        <f>SUM(GENERAL!I836,GENERAL!M836,GENERAL!Q836,GENERAL!U836)</f>
        <v>0</v>
      </c>
    </row>
    <row r="1028" spans="1:3" ht="12.75">
      <c r="A1028" s="4">
        <v>198</v>
      </c>
      <c r="B1028" s="4">
        <f>GENERAL!B835</f>
        <v>0</v>
      </c>
      <c r="C1028" s="5">
        <f>SUM(GENERAL!I837,GENERAL!M837,GENERAL!Q837,GENERAL!U837)</f>
        <v>0</v>
      </c>
    </row>
    <row r="1029" spans="1:3" ht="12.75">
      <c r="A1029" s="4">
        <v>198</v>
      </c>
      <c r="B1029" s="4">
        <f>GENERAL!B836</f>
        <v>0</v>
      </c>
      <c r="C1029" s="5">
        <f>SUM(GENERAL!I838,GENERAL!M838,GENERAL!Q838,GENERAL!U838)</f>
        <v>0</v>
      </c>
    </row>
    <row r="1030" spans="1:3" ht="12.75">
      <c r="A1030" s="4">
        <v>198</v>
      </c>
      <c r="B1030" s="4">
        <f>GENERAL!B837</f>
        <v>0</v>
      </c>
      <c r="C1030" s="5">
        <f>SUM(GENERAL!I839,GENERAL!M839,GENERAL!Q839,GENERAL!U839)</f>
        <v>0</v>
      </c>
    </row>
    <row r="1031" spans="1:3" ht="12.75">
      <c r="A1031" s="4">
        <v>198</v>
      </c>
      <c r="B1031" s="4">
        <f>GENERAL!B838</f>
        <v>0</v>
      </c>
      <c r="C1031" s="5">
        <f>SUM(GENERAL!I840,GENERAL!M840,GENERAL!Q840,GENERAL!U840)</f>
        <v>0</v>
      </c>
    </row>
    <row r="1032" spans="1:3" ht="12.75">
      <c r="A1032" s="4">
        <v>198</v>
      </c>
      <c r="B1032" s="4">
        <f>GENERAL!B839</f>
        <v>0</v>
      </c>
      <c r="C1032" s="5">
        <f>SUM(GENERAL!I841,GENERAL!M841,GENERAL!Q841,GENERAL!U841)</f>
        <v>0</v>
      </c>
    </row>
    <row r="1033" spans="1:3" ht="12.75">
      <c r="A1033" s="4">
        <v>198</v>
      </c>
      <c r="B1033" s="4">
        <f>GENERAL!B840</f>
        <v>0</v>
      </c>
      <c r="C1033" s="5">
        <f>SUM(GENERAL!I842,GENERAL!M842,GENERAL!Q842,GENERAL!U842)</f>
        <v>0</v>
      </c>
    </row>
    <row r="1034" spans="1:3" ht="12.75">
      <c r="A1034" s="4">
        <v>198</v>
      </c>
      <c r="B1034" s="4">
        <f>GENERAL!B841</f>
        <v>0</v>
      </c>
      <c r="C1034" s="5">
        <f>SUM(GENERAL!I843,GENERAL!M843,GENERAL!Q843,GENERAL!U843)</f>
        <v>0</v>
      </c>
    </row>
    <row r="1035" spans="1:3" ht="12.75">
      <c r="A1035" s="4">
        <v>198</v>
      </c>
      <c r="B1035" s="4">
        <f>GENERAL!B842</f>
        <v>0</v>
      </c>
      <c r="C1035" s="5">
        <f>SUM(GENERAL!I844,GENERAL!M844,GENERAL!Q844,GENERAL!U844)</f>
        <v>0</v>
      </c>
    </row>
    <row r="1036" spans="1:3" ht="12.75">
      <c r="A1036" s="4">
        <v>198</v>
      </c>
      <c r="B1036" s="4">
        <f>GENERAL!B843</f>
        <v>0</v>
      </c>
      <c r="C1036" s="5">
        <f>SUM(GENERAL!I845,GENERAL!M845,GENERAL!Q845,GENERAL!U845)</f>
        <v>0</v>
      </c>
    </row>
    <row r="1037" spans="1:3" ht="12.75">
      <c r="A1037" s="4">
        <v>198</v>
      </c>
      <c r="B1037" s="4">
        <f>GENERAL!B844</f>
        <v>0</v>
      </c>
      <c r="C1037" s="5">
        <f>SUM(GENERAL!I846,GENERAL!M846,GENERAL!Q846,GENERAL!U846)</f>
        <v>0</v>
      </c>
    </row>
    <row r="1038" spans="1:3" ht="12.75">
      <c r="A1038" s="4">
        <v>198</v>
      </c>
      <c r="B1038" s="4">
        <f>GENERAL!B845</f>
        <v>0</v>
      </c>
      <c r="C1038" s="5">
        <f>SUM(GENERAL!I847,GENERAL!M847,GENERAL!Q847,GENERAL!U847)</f>
        <v>0</v>
      </c>
    </row>
    <row r="1039" spans="1:3" ht="12.75">
      <c r="A1039" s="4">
        <v>198</v>
      </c>
      <c r="B1039" s="4">
        <f>GENERAL!B846</f>
        <v>0</v>
      </c>
      <c r="C1039" s="5">
        <f>SUM(GENERAL!I848,GENERAL!M848,GENERAL!Q848,GENERAL!U848)</f>
        <v>0</v>
      </c>
    </row>
    <row r="1040" spans="1:3" ht="12.75">
      <c r="A1040" s="4">
        <v>198</v>
      </c>
      <c r="B1040" s="4">
        <f>GENERAL!B847</f>
        <v>0</v>
      </c>
      <c r="C1040" s="5">
        <f>SUM(GENERAL!I849,GENERAL!M849,GENERAL!Q849,GENERAL!U849)</f>
        <v>0</v>
      </c>
    </row>
    <row r="1041" spans="1:3" ht="12.75">
      <c r="A1041" s="4">
        <v>198</v>
      </c>
      <c r="B1041" s="4">
        <f>GENERAL!B848</f>
        <v>0</v>
      </c>
      <c r="C1041" s="5">
        <f>SUM(GENERAL!I850,GENERAL!M850,GENERAL!Q850,GENERAL!U850)</f>
        <v>0</v>
      </c>
    </row>
    <row r="1042" spans="1:3" ht="12.75">
      <c r="A1042" s="4">
        <v>198</v>
      </c>
      <c r="B1042" s="4">
        <f>GENERAL!B849</f>
        <v>0</v>
      </c>
      <c r="C1042" s="5">
        <f>SUM(GENERAL!I851,GENERAL!M851,GENERAL!Q851,GENERAL!U851)</f>
        <v>0</v>
      </c>
    </row>
    <row r="1043" spans="1:3" ht="12.75">
      <c r="A1043" s="4">
        <v>198</v>
      </c>
      <c r="B1043" s="4">
        <f>GENERAL!B850</f>
        <v>0</v>
      </c>
      <c r="C1043" s="5">
        <f>SUM(GENERAL!I852,GENERAL!M852,GENERAL!Q852,GENERAL!U852)</f>
        <v>0</v>
      </c>
    </row>
    <row r="1044" spans="1:3" ht="12.75">
      <c r="A1044" s="4">
        <v>198</v>
      </c>
      <c r="B1044" s="4">
        <f>GENERAL!B851</f>
        <v>0</v>
      </c>
      <c r="C1044" s="5">
        <f>SUM(GENERAL!I853,GENERAL!M853,GENERAL!Q853,GENERAL!U853)</f>
        <v>0</v>
      </c>
    </row>
    <row r="1045" spans="1:3" ht="12.75">
      <c r="A1045" s="4">
        <v>198</v>
      </c>
      <c r="B1045" s="4">
        <f>GENERAL!B852</f>
        <v>0</v>
      </c>
      <c r="C1045" s="5">
        <f>SUM(GENERAL!I854,GENERAL!M854,GENERAL!Q854,GENERAL!U854)</f>
        <v>0</v>
      </c>
    </row>
    <row r="1046" spans="1:3" ht="12.75">
      <c r="A1046" s="4">
        <v>198</v>
      </c>
      <c r="B1046" s="4">
        <f>GENERAL!B853</f>
        <v>0</v>
      </c>
      <c r="C1046" s="5">
        <f>SUM(GENERAL!I855,GENERAL!M855,GENERAL!Q855,GENERAL!U855)</f>
        <v>0</v>
      </c>
    </row>
    <row r="1047" spans="1:3" ht="12.75">
      <c r="A1047" s="4">
        <v>198</v>
      </c>
      <c r="B1047" s="4">
        <f>GENERAL!B854</f>
        <v>0</v>
      </c>
      <c r="C1047" s="5">
        <f>SUM(GENERAL!I856,GENERAL!M856,GENERAL!Q856,GENERAL!U856)</f>
        <v>0</v>
      </c>
    </row>
    <row r="1048" spans="1:3" ht="12.75">
      <c r="A1048" s="4">
        <v>198</v>
      </c>
      <c r="B1048" s="4">
        <f>GENERAL!B855</f>
        <v>0</v>
      </c>
      <c r="C1048" s="5">
        <f>SUM(GENERAL!I857,GENERAL!M857,GENERAL!Q857,GENERAL!U857)</f>
        <v>0</v>
      </c>
    </row>
    <row r="1049" spans="1:3" ht="12.75">
      <c r="A1049" s="4">
        <v>198</v>
      </c>
      <c r="B1049" s="4">
        <f>GENERAL!B856</f>
        <v>0</v>
      </c>
      <c r="C1049" s="5">
        <f>SUM(GENERAL!I858,GENERAL!M858,GENERAL!Q858,GENERAL!U858)</f>
        <v>0</v>
      </c>
    </row>
    <row r="1050" spans="1:3" ht="12.75">
      <c r="A1050" s="4">
        <v>198</v>
      </c>
      <c r="B1050" s="4">
        <f>GENERAL!B857</f>
        <v>0</v>
      </c>
      <c r="C1050" s="5">
        <f>SUM(GENERAL!I859,GENERAL!M859,GENERAL!Q859,GENERAL!U859)</f>
        <v>0</v>
      </c>
    </row>
    <row r="1051" spans="1:3" ht="12.75">
      <c r="A1051" s="4">
        <v>198</v>
      </c>
      <c r="B1051" s="4">
        <f>GENERAL!B858</f>
        <v>0</v>
      </c>
      <c r="C1051" s="5">
        <f>SUM(GENERAL!I860,GENERAL!M860,GENERAL!Q860,GENERAL!U860)</f>
        <v>0</v>
      </c>
    </row>
    <row r="1052" spans="1:3" ht="12.75">
      <c r="A1052" s="4">
        <v>198</v>
      </c>
      <c r="B1052" s="4">
        <f>GENERAL!B859</f>
        <v>0</v>
      </c>
      <c r="C1052" s="5">
        <f>SUM(GENERAL!I861,GENERAL!M861,GENERAL!Q861,GENERAL!U861)</f>
        <v>0</v>
      </c>
    </row>
    <row r="1053" spans="1:3" ht="12.75">
      <c r="A1053" s="4">
        <v>198</v>
      </c>
      <c r="B1053" s="4">
        <f>GENERAL!B860</f>
        <v>0</v>
      </c>
      <c r="C1053" s="5">
        <f>SUM(GENERAL!I862,GENERAL!M862,GENERAL!Q862,GENERAL!U862)</f>
        <v>0</v>
      </c>
    </row>
    <row r="1054" spans="1:3" ht="12.75">
      <c r="A1054" s="4">
        <v>198</v>
      </c>
      <c r="B1054" s="4">
        <f>GENERAL!B861</f>
        <v>0</v>
      </c>
      <c r="C1054" s="5">
        <f>SUM(GENERAL!I863,GENERAL!M863,GENERAL!Q863,GENERAL!U863)</f>
        <v>0</v>
      </c>
    </row>
    <row r="1055" spans="1:3" ht="12.75">
      <c r="A1055" s="4">
        <v>198</v>
      </c>
      <c r="B1055" s="4">
        <f>GENERAL!B862</f>
        <v>0</v>
      </c>
      <c r="C1055" s="5">
        <f>SUM(GENERAL!I864,GENERAL!M864,GENERAL!Q864,GENERAL!U864)</f>
        <v>0</v>
      </c>
    </row>
    <row r="1056" spans="1:3" ht="12.75">
      <c r="A1056" s="4">
        <v>198</v>
      </c>
      <c r="B1056" s="4">
        <f>GENERAL!B863</f>
        <v>0</v>
      </c>
      <c r="C1056" s="5">
        <f>SUM(GENERAL!I865,GENERAL!M865,GENERAL!Q865,GENERAL!U865)</f>
        <v>0</v>
      </c>
    </row>
    <row r="1057" spans="1:3" ht="12.75">
      <c r="A1057" s="4">
        <v>198</v>
      </c>
      <c r="B1057" s="4">
        <f>GENERAL!B864</f>
        <v>0</v>
      </c>
      <c r="C1057" s="5">
        <f>SUM(GENERAL!I866,GENERAL!M866,GENERAL!Q866,GENERAL!U866)</f>
        <v>0</v>
      </c>
    </row>
    <row r="1058" spans="1:3" ht="12.75">
      <c r="A1058" s="4">
        <v>198</v>
      </c>
      <c r="B1058" s="4">
        <f>GENERAL!B865</f>
        <v>0</v>
      </c>
      <c r="C1058" s="5">
        <f>SUM(GENERAL!I867,GENERAL!M867,GENERAL!Q867,GENERAL!U867)</f>
        <v>0</v>
      </c>
    </row>
    <row r="1059" spans="1:3" ht="12.75">
      <c r="A1059" s="4">
        <v>198</v>
      </c>
      <c r="B1059" s="4">
        <f>GENERAL!B866</f>
        <v>0</v>
      </c>
      <c r="C1059" s="5">
        <f>SUM(GENERAL!I868,GENERAL!M868,GENERAL!Q868,GENERAL!U868)</f>
        <v>0</v>
      </c>
    </row>
    <row r="1060" spans="1:3" ht="12.75">
      <c r="A1060" s="4">
        <v>198</v>
      </c>
      <c r="B1060" s="4">
        <f>GENERAL!B867</f>
        <v>0</v>
      </c>
      <c r="C1060" s="5">
        <f>SUM(GENERAL!I869,GENERAL!M869,GENERAL!Q869,GENERAL!U869)</f>
        <v>0</v>
      </c>
    </row>
    <row r="1061" spans="1:3" ht="12.75">
      <c r="A1061" s="4">
        <v>198</v>
      </c>
      <c r="B1061" s="4">
        <f>GENERAL!B868</f>
        <v>0</v>
      </c>
      <c r="C1061" s="5">
        <f>SUM(GENERAL!I870,GENERAL!M870,GENERAL!Q870,GENERAL!U870)</f>
        <v>0</v>
      </c>
    </row>
    <row r="1062" spans="1:3" ht="12.75">
      <c r="A1062" s="4">
        <v>198</v>
      </c>
      <c r="B1062" s="4">
        <f>GENERAL!B869</f>
        <v>0</v>
      </c>
      <c r="C1062" s="5">
        <f>SUM(GENERAL!I871,GENERAL!M871,GENERAL!Q871,GENERAL!U871)</f>
        <v>0</v>
      </c>
    </row>
    <row r="1063" spans="1:3" ht="12.75">
      <c r="A1063" s="4">
        <v>198</v>
      </c>
      <c r="B1063" s="4">
        <f>GENERAL!B870</f>
        <v>0</v>
      </c>
      <c r="C1063" s="5">
        <f>SUM(GENERAL!I872,GENERAL!M872,GENERAL!Q872,GENERAL!U872)</f>
        <v>0</v>
      </c>
    </row>
    <row r="1064" spans="1:3" ht="12.75">
      <c r="A1064" s="4">
        <v>198</v>
      </c>
      <c r="B1064" s="4">
        <f>GENERAL!B871</f>
        <v>0</v>
      </c>
      <c r="C1064" s="5">
        <f>SUM(GENERAL!I873,GENERAL!M873,GENERAL!Q873,GENERAL!U873)</f>
        <v>0</v>
      </c>
    </row>
    <row r="1065" spans="1:3" ht="12.75">
      <c r="A1065" s="4">
        <v>198</v>
      </c>
      <c r="B1065" s="4">
        <f>GENERAL!B872</f>
        <v>0</v>
      </c>
      <c r="C1065" s="5">
        <f>SUM(GENERAL!I874,GENERAL!M874,GENERAL!Q874,GENERAL!U874)</f>
        <v>0</v>
      </c>
    </row>
    <row r="1066" spans="1:3" ht="12.75">
      <c r="A1066" s="4">
        <v>198</v>
      </c>
      <c r="B1066" s="4">
        <f>GENERAL!B873</f>
        <v>0</v>
      </c>
      <c r="C1066" s="5">
        <f>SUM(GENERAL!I875,GENERAL!M875,GENERAL!Q875,GENERAL!U875)</f>
        <v>0</v>
      </c>
    </row>
    <row r="1067" spans="1:3" ht="12.75">
      <c r="A1067" s="4">
        <v>198</v>
      </c>
      <c r="B1067" s="4">
        <f>GENERAL!B874</f>
        <v>0</v>
      </c>
      <c r="C1067" s="5">
        <f>SUM(GENERAL!I876,GENERAL!M876,GENERAL!Q876,GENERAL!U876)</f>
        <v>0</v>
      </c>
    </row>
    <row r="1068" spans="1:3" ht="12.75">
      <c r="A1068" s="4">
        <v>198</v>
      </c>
      <c r="B1068" s="4">
        <f>GENERAL!B875</f>
        <v>0</v>
      </c>
      <c r="C1068" s="5">
        <f>SUM(GENERAL!I877,GENERAL!M877,GENERAL!Q877,GENERAL!U877)</f>
        <v>0</v>
      </c>
    </row>
    <row r="1069" spans="1:3" ht="12.75">
      <c r="A1069" s="4">
        <v>198</v>
      </c>
      <c r="B1069" s="4">
        <f>GENERAL!B876</f>
        <v>0</v>
      </c>
      <c r="C1069" s="5">
        <f>SUM(GENERAL!I878,GENERAL!M878,GENERAL!Q878,GENERAL!U878)</f>
        <v>0</v>
      </c>
    </row>
    <row r="1070" spans="1:3" ht="12.75">
      <c r="A1070" s="4">
        <v>198</v>
      </c>
      <c r="B1070" s="4">
        <f>GENERAL!B877</f>
        <v>0</v>
      </c>
      <c r="C1070" s="5">
        <f>SUM(GENERAL!I879,GENERAL!M879,GENERAL!Q879,GENERAL!U879)</f>
        <v>0</v>
      </c>
    </row>
    <row r="1071" spans="1:3" ht="12.75">
      <c r="A1071" s="4">
        <v>198</v>
      </c>
      <c r="B1071" s="4">
        <f>GENERAL!B878</f>
        <v>0</v>
      </c>
      <c r="C1071" s="5">
        <f>SUM(GENERAL!I880,GENERAL!M880,GENERAL!Q880,GENERAL!U880)</f>
        <v>0</v>
      </c>
    </row>
    <row r="1072" spans="1:3" ht="12.75">
      <c r="A1072" s="4">
        <v>198</v>
      </c>
      <c r="B1072" s="4">
        <f>GENERAL!B879</f>
        <v>0</v>
      </c>
      <c r="C1072" s="5">
        <f>SUM(GENERAL!I881,GENERAL!M881,GENERAL!Q881,GENERAL!U881)</f>
        <v>0</v>
      </c>
    </row>
    <row r="1073" spans="1:3" ht="12.75">
      <c r="A1073" s="4">
        <v>198</v>
      </c>
      <c r="B1073" s="4">
        <f>GENERAL!B880</f>
        <v>0</v>
      </c>
      <c r="C1073" s="5">
        <f>SUM(GENERAL!I882,GENERAL!M882,GENERAL!Q882,GENERAL!U882)</f>
        <v>0</v>
      </c>
    </row>
    <row r="1074" spans="1:3" ht="12.75">
      <c r="A1074" s="4">
        <v>198</v>
      </c>
      <c r="B1074" s="4">
        <f>GENERAL!B881</f>
        <v>0</v>
      </c>
      <c r="C1074" s="5">
        <f>SUM(GENERAL!I883,GENERAL!M883,GENERAL!Q883,GENERAL!U883)</f>
        <v>0</v>
      </c>
    </row>
    <row r="1075" spans="1:3" ht="12.75">
      <c r="A1075" s="4">
        <v>198</v>
      </c>
      <c r="B1075" s="4">
        <f>GENERAL!B882</f>
        <v>0</v>
      </c>
      <c r="C1075" s="5">
        <f>SUM(GENERAL!I884,GENERAL!M884,GENERAL!Q884,GENERAL!U884)</f>
        <v>0</v>
      </c>
    </row>
    <row r="1076" spans="1:3" ht="12.75">
      <c r="A1076" s="4">
        <v>198</v>
      </c>
      <c r="B1076" s="4">
        <f>GENERAL!B883</f>
        <v>0</v>
      </c>
      <c r="C1076" s="5">
        <f>SUM(GENERAL!I885,GENERAL!M885,GENERAL!Q885,GENERAL!U885)</f>
        <v>0</v>
      </c>
    </row>
    <row r="1077" spans="1:3" ht="12.75">
      <c r="A1077" s="4">
        <v>198</v>
      </c>
      <c r="B1077" s="4">
        <f>GENERAL!B884</f>
        <v>0</v>
      </c>
      <c r="C1077" s="5">
        <f>SUM(GENERAL!I886,GENERAL!M886,GENERAL!Q886,GENERAL!U886)</f>
        <v>0</v>
      </c>
    </row>
    <row r="1078" spans="1:3" ht="12.75">
      <c r="A1078" s="4">
        <v>198</v>
      </c>
      <c r="B1078" s="4">
        <f>GENERAL!B885</f>
        <v>0</v>
      </c>
      <c r="C1078" s="5">
        <f>SUM(GENERAL!I887,GENERAL!M887,GENERAL!Q887,GENERAL!U887)</f>
        <v>0</v>
      </c>
    </row>
    <row r="1079" spans="1:3" ht="12.75">
      <c r="A1079" s="4">
        <v>198</v>
      </c>
      <c r="B1079" s="4">
        <f>GENERAL!B886</f>
        <v>0</v>
      </c>
      <c r="C1079" s="5">
        <f>SUM(GENERAL!I888,GENERAL!M888,GENERAL!Q888,GENERAL!U888)</f>
        <v>0</v>
      </c>
    </row>
    <row r="1080" spans="1:3" ht="12.75">
      <c r="A1080" s="4">
        <v>198</v>
      </c>
      <c r="B1080" s="4">
        <f>GENERAL!B887</f>
        <v>0</v>
      </c>
      <c r="C1080" s="5">
        <f>SUM(GENERAL!I889,GENERAL!M889,GENERAL!Q889,GENERAL!U889)</f>
        <v>0</v>
      </c>
    </row>
    <row r="1081" spans="1:3" ht="12.75">
      <c r="A1081" s="4">
        <v>198</v>
      </c>
      <c r="B1081" s="4">
        <f>GENERAL!B888</f>
        <v>0</v>
      </c>
      <c r="C1081" s="5">
        <f>SUM(GENERAL!I890,GENERAL!M890,GENERAL!Q890,GENERAL!U890)</f>
        <v>0</v>
      </c>
    </row>
    <row r="1082" spans="1:3" ht="12.75">
      <c r="A1082" s="4">
        <v>198</v>
      </c>
      <c r="B1082" s="4">
        <f>GENERAL!B889</f>
        <v>0</v>
      </c>
      <c r="C1082" s="5">
        <f>SUM(GENERAL!I891,GENERAL!M891,GENERAL!Q891,GENERAL!U891)</f>
        <v>0</v>
      </c>
    </row>
    <row r="1083" spans="1:3" ht="12.75">
      <c r="A1083" s="4">
        <v>198</v>
      </c>
      <c r="B1083" s="4">
        <f>GENERAL!B890</f>
        <v>0</v>
      </c>
      <c r="C1083" s="5">
        <f>SUM(GENERAL!I892,GENERAL!M892,GENERAL!Q892,GENERAL!U892)</f>
        <v>0</v>
      </c>
    </row>
    <row r="1084" spans="1:3" ht="12.75">
      <c r="A1084" s="4">
        <v>198</v>
      </c>
      <c r="B1084" s="4">
        <f>GENERAL!B891</f>
        <v>0</v>
      </c>
      <c r="C1084" s="5">
        <f>SUM(GENERAL!I893,GENERAL!M893,GENERAL!Q893,GENERAL!U893)</f>
        <v>0</v>
      </c>
    </row>
    <row r="1085" spans="1:3" ht="12.75">
      <c r="A1085" s="4">
        <v>198</v>
      </c>
      <c r="B1085" s="4">
        <f>GENERAL!B892</f>
        <v>0</v>
      </c>
      <c r="C1085" s="5">
        <f>SUM(GENERAL!I894,GENERAL!M894,GENERAL!Q894,GENERAL!U894)</f>
        <v>0</v>
      </c>
    </row>
    <row r="1086" spans="1:3" ht="12.75">
      <c r="A1086" s="4">
        <v>198</v>
      </c>
      <c r="B1086" s="4">
        <f>GENERAL!B893</f>
        <v>0</v>
      </c>
      <c r="C1086" s="5">
        <f>SUM(GENERAL!I895,GENERAL!M895,GENERAL!Q895,GENERAL!U895)</f>
        <v>0</v>
      </c>
    </row>
    <row r="1087" spans="1:3" ht="12.75">
      <c r="A1087" s="4">
        <v>198</v>
      </c>
      <c r="B1087" s="4">
        <f>GENERAL!B894</f>
        <v>0</v>
      </c>
      <c r="C1087" s="5">
        <f>SUM(GENERAL!I896,GENERAL!M896,GENERAL!Q896,GENERAL!U896)</f>
        <v>0</v>
      </c>
    </row>
    <row r="1088" spans="1:3" ht="12.75">
      <c r="A1088" s="4">
        <v>198</v>
      </c>
      <c r="B1088" s="4">
        <f>GENERAL!B895</f>
        <v>0</v>
      </c>
      <c r="C1088" s="5">
        <f>SUM(GENERAL!I897,GENERAL!M897,GENERAL!Q897,GENERAL!U897)</f>
        <v>0</v>
      </c>
    </row>
    <row r="1089" spans="1:3" ht="12.75">
      <c r="A1089" s="4">
        <v>198</v>
      </c>
      <c r="B1089" s="4">
        <f>GENERAL!B896</f>
        <v>0</v>
      </c>
      <c r="C1089" s="5">
        <f>SUM(GENERAL!I898,GENERAL!M898,GENERAL!Q898,GENERAL!U898)</f>
        <v>0</v>
      </c>
    </row>
    <row r="1090" spans="1:3" ht="12.75">
      <c r="A1090" s="4">
        <v>198</v>
      </c>
      <c r="B1090" s="4">
        <f>GENERAL!B897</f>
        <v>0</v>
      </c>
      <c r="C1090" s="5">
        <f>SUM(GENERAL!I899,GENERAL!M899,GENERAL!Q899,GENERAL!U899)</f>
        <v>0</v>
      </c>
    </row>
    <row r="1091" spans="1:3" ht="12.75">
      <c r="A1091" s="4">
        <v>198</v>
      </c>
      <c r="B1091" s="4">
        <f>GENERAL!B898</f>
        <v>0</v>
      </c>
      <c r="C1091" s="5">
        <f>SUM(GENERAL!I900,GENERAL!M900,GENERAL!Q900,GENERAL!U900)</f>
        <v>0</v>
      </c>
    </row>
    <row r="1092" spans="1:3" ht="12.75">
      <c r="A1092" s="4">
        <v>198</v>
      </c>
      <c r="B1092" s="4">
        <f>GENERAL!B899</f>
        <v>0</v>
      </c>
      <c r="C1092" s="5">
        <f>SUM(GENERAL!I901,GENERAL!M901,GENERAL!Q901,GENERAL!U901)</f>
        <v>0</v>
      </c>
    </row>
    <row r="1093" spans="1:3" ht="12.75">
      <c r="A1093" s="4">
        <v>198</v>
      </c>
      <c r="B1093" s="4">
        <f>GENERAL!B900</f>
        <v>0</v>
      </c>
      <c r="C1093" s="5">
        <f>SUM(GENERAL!I902,GENERAL!M902,GENERAL!Q902,GENERAL!U902)</f>
        <v>0</v>
      </c>
    </row>
    <row r="1094" spans="1:3" ht="12.75">
      <c r="A1094" s="4">
        <v>198</v>
      </c>
      <c r="B1094" s="4">
        <f>GENERAL!B901</f>
        <v>0</v>
      </c>
      <c r="C1094" s="5">
        <f>SUM(GENERAL!I903,GENERAL!M903,GENERAL!Q903,GENERAL!U903)</f>
        <v>0</v>
      </c>
    </row>
    <row r="1095" spans="1:3" ht="12.75">
      <c r="A1095" s="4">
        <v>198</v>
      </c>
      <c r="B1095" s="4">
        <f>GENERAL!B902</f>
        <v>0</v>
      </c>
      <c r="C1095" s="5">
        <f>SUM(GENERAL!I904,GENERAL!M904,GENERAL!Q904,GENERAL!U904)</f>
        <v>0</v>
      </c>
    </row>
    <row r="1096" spans="1:3" ht="12.75">
      <c r="A1096" s="4">
        <v>198</v>
      </c>
      <c r="B1096" s="4">
        <f>GENERAL!B903</f>
        <v>0</v>
      </c>
      <c r="C1096" s="5">
        <f>SUM(GENERAL!I905,GENERAL!M905,GENERAL!Q905,GENERAL!U905)</f>
        <v>0</v>
      </c>
    </row>
    <row r="1097" spans="1:3" ht="12.75">
      <c r="A1097" s="4">
        <v>198</v>
      </c>
      <c r="B1097" s="4">
        <f>GENERAL!B904</f>
        <v>0</v>
      </c>
      <c r="C1097" s="5">
        <f>SUM(GENERAL!I906,GENERAL!M906,GENERAL!Q906,GENERAL!U906)</f>
        <v>0</v>
      </c>
    </row>
    <row r="1098" spans="1:3" ht="12.75">
      <c r="A1098" s="4">
        <v>198</v>
      </c>
      <c r="B1098" s="4">
        <f>GENERAL!B905</f>
        <v>0</v>
      </c>
      <c r="C1098" s="5">
        <f>SUM(GENERAL!I907,GENERAL!M907,GENERAL!Q907,GENERAL!U907)</f>
        <v>0</v>
      </c>
    </row>
    <row r="1099" spans="1:3" ht="12.75">
      <c r="A1099" s="4">
        <v>198</v>
      </c>
      <c r="B1099" s="4">
        <f>GENERAL!B906</f>
        <v>0</v>
      </c>
      <c r="C1099" s="5">
        <f>SUM(GENERAL!I908,GENERAL!M908,GENERAL!Q908,GENERAL!U908)</f>
        <v>0</v>
      </c>
    </row>
    <row r="1100" spans="1:3" ht="12.75">
      <c r="A1100" s="4"/>
      <c r="B1100" s="4"/>
    </row>
    <row r="1101" spans="1:3" ht="12.75">
      <c r="A1101" s="4"/>
      <c r="B1101" s="4"/>
    </row>
    <row r="1102" spans="1:3" ht="12.75">
      <c r="A1102" s="4"/>
      <c r="B1102" s="4"/>
    </row>
    <row r="1103" spans="1:3" ht="12.75">
      <c r="A1103" s="4"/>
      <c r="B1103" s="4"/>
    </row>
    <row r="1104" spans="1:3" ht="12.75">
      <c r="A1104" s="4"/>
      <c r="B1104" s="4"/>
    </row>
    <row r="1105" spans="1:2" ht="12.75">
      <c r="A1105" s="4"/>
      <c r="B1105" s="4"/>
    </row>
    <row r="1106" spans="1:2" ht="12.75">
      <c r="A1106" s="4"/>
      <c r="B1106" s="4"/>
    </row>
    <row r="1107" spans="1:2" ht="12.75">
      <c r="A1107" s="4"/>
      <c r="B1107" s="4"/>
    </row>
    <row r="1108" spans="1:2" ht="12.75">
      <c r="A1108" s="4"/>
      <c r="B1108" s="4"/>
    </row>
    <row r="1109" spans="1:2" ht="12.75">
      <c r="A1109" s="4"/>
      <c r="B1109" s="4"/>
    </row>
    <row r="1110" spans="1:2" ht="12.75">
      <c r="A1110" s="4"/>
      <c r="B1110" s="4"/>
    </row>
    <row r="1111" spans="1:2" ht="12.75">
      <c r="A1111" s="4"/>
      <c r="B1111" s="4"/>
    </row>
    <row r="1112" spans="1:2" ht="12.75">
      <c r="A1112" s="4"/>
      <c r="B1112" s="4"/>
    </row>
    <row r="1113" spans="1:2" ht="12.75">
      <c r="A1113" s="4"/>
      <c r="B1113" s="4"/>
    </row>
    <row r="1114" spans="1:2" ht="12.75">
      <c r="A1114" s="4"/>
      <c r="B1114" s="4"/>
    </row>
    <row r="1115" spans="1:2" ht="12.75">
      <c r="A1115" s="4"/>
      <c r="B1115" s="4"/>
    </row>
    <row r="1116" spans="1:2" ht="12.75">
      <c r="A1116" s="4"/>
      <c r="B1116" s="4"/>
    </row>
    <row r="1117" spans="1:2" ht="12.75">
      <c r="A1117" s="4"/>
      <c r="B1117" s="4"/>
    </row>
    <row r="1118" spans="1:2" ht="12.75">
      <c r="A1118" s="4"/>
      <c r="B1118" s="4"/>
    </row>
    <row r="1119" spans="1:2" ht="12.75">
      <c r="A1119" s="4"/>
      <c r="B1119" s="4"/>
    </row>
    <row r="1120" spans="1:2" ht="12.75">
      <c r="A1120" s="4"/>
      <c r="B1120" s="4"/>
    </row>
    <row r="1121" spans="1:2" ht="12.75">
      <c r="A1121" s="4"/>
      <c r="B1121" s="4"/>
    </row>
    <row r="1122" spans="1:2" ht="12.75">
      <c r="A1122" s="4"/>
      <c r="B1122" s="4"/>
    </row>
    <row r="1123" spans="1:2" ht="12.75">
      <c r="A1123" s="4"/>
      <c r="B1123" s="4"/>
    </row>
    <row r="1124" spans="1:2" ht="12.75">
      <c r="A1124" s="4"/>
      <c r="B1124" s="4"/>
    </row>
    <row r="1125" spans="1:2" ht="12.75">
      <c r="A1125" s="4"/>
      <c r="B1125" s="4"/>
    </row>
    <row r="1126" spans="1:2" ht="12.75">
      <c r="A1126" s="4"/>
      <c r="B1126" s="4"/>
    </row>
    <row r="1127" spans="1:2" ht="12.75">
      <c r="A1127" s="4"/>
      <c r="B1127" s="4"/>
    </row>
    <row r="1128" spans="1:2" ht="12.75">
      <c r="A1128" s="4"/>
      <c r="B1128" s="4"/>
    </row>
    <row r="1129" spans="1:2" ht="12.75">
      <c r="A1129" s="4"/>
      <c r="B1129" s="4"/>
    </row>
    <row r="1130" spans="1:2" ht="12.75">
      <c r="A1130" s="4"/>
      <c r="B1130" s="4"/>
    </row>
    <row r="1131" spans="1:2" ht="12.75">
      <c r="A1131" s="4"/>
      <c r="B1131" s="4"/>
    </row>
    <row r="1132" spans="1:2" ht="12.75">
      <c r="A1132" s="4"/>
      <c r="B1132" s="4"/>
    </row>
    <row r="1133" spans="1:2" ht="12.75">
      <c r="A1133" s="4"/>
      <c r="B1133" s="4"/>
    </row>
    <row r="1134" spans="1:2" ht="12.75">
      <c r="A1134" s="4"/>
      <c r="B1134" s="4"/>
    </row>
    <row r="1135" spans="1:2" ht="12.75">
      <c r="A1135" s="4"/>
      <c r="B1135" s="4"/>
    </row>
    <row r="1136" spans="1:2" ht="12.75">
      <c r="A1136" s="4"/>
      <c r="B1136" s="4"/>
    </row>
    <row r="1137" spans="1:2" ht="12.75">
      <c r="A1137" s="4"/>
      <c r="B1137" s="4"/>
    </row>
    <row r="1138" spans="1:2" ht="12.75">
      <c r="A1138" s="4"/>
      <c r="B1138" s="4"/>
    </row>
    <row r="1139" spans="1:2" ht="12.75">
      <c r="A1139" s="4"/>
      <c r="B1139" s="4"/>
    </row>
    <row r="1140" spans="1:2" ht="12.75">
      <c r="A1140" s="4"/>
      <c r="B1140" s="4"/>
    </row>
    <row r="1141" spans="1:2" ht="12.75">
      <c r="A1141" s="4"/>
      <c r="B1141" s="4"/>
    </row>
    <row r="1142" spans="1:2" ht="12.75">
      <c r="A1142" s="4"/>
      <c r="B1142" s="4"/>
    </row>
    <row r="1143" spans="1:2" ht="12.75">
      <c r="A1143" s="4"/>
      <c r="B1143" s="4"/>
    </row>
    <row r="1144" spans="1:2" ht="12.75">
      <c r="A1144" s="4"/>
      <c r="B1144" s="4"/>
    </row>
    <row r="1145" spans="1:2" ht="12.75">
      <c r="A1145" s="4"/>
      <c r="B1145" s="4"/>
    </row>
    <row r="1146" spans="1:2" ht="12.75">
      <c r="A1146" s="4"/>
      <c r="B1146" s="4"/>
    </row>
    <row r="1147" spans="1:2" ht="12.75">
      <c r="A1147" s="4"/>
      <c r="B1147" s="4"/>
    </row>
    <row r="1148" spans="1:2" ht="12.75">
      <c r="A1148" s="4"/>
      <c r="B1148" s="4"/>
    </row>
    <row r="1149" spans="1:2" ht="12.75">
      <c r="A1149" s="4"/>
      <c r="B1149" s="4"/>
    </row>
    <row r="1150" spans="1:2" ht="12.75">
      <c r="A1150" s="4"/>
      <c r="B1150" s="4"/>
    </row>
    <row r="1151" spans="1:2" ht="12.75">
      <c r="A1151" s="4"/>
      <c r="B1151" s="4"/>
    </row>
    <row r="1152" spans="1:2" ht="12.75">
      <c r="A1152" s="4"/>
      <c r="B1152" s="4"/>
    </row>
    <row r="1153" spans="1:2" ht="12.75">
      <c r="A1153" s="4"/>
      <c r="B1153" s="4"/>
    </row>
    <row r="1154" spans="1:2" ht="12.75">
      <c r="A1154" s="4"/>
      <c r="B1154" s="4"/>
    </row>
    <row r="1155" spans="1:2" ht="12.75">
      <c r="A1155" s="4"/>
      <c r="B1155" s="4"/>
    </row>
    <row r="1156" spans="1:2" ht="12.75">
      <c r="A1156" s="4"/>
      <c r="B1156" s="4"/>
    </row>
    <row r="1157" spans="1:2" ht="12.75">
      <c r="A1157" s="4"/>
      <c r="B1157" s="4"/>
    </row>
    <row r="1158" spans="1:2" ht="12.75">
      <c r="A1158" s="4"/>
      <c r="B1158" s="4"/>
    </row>
    <row r="1159" spans="1:2" ht="12.75">
      <c r="A1159" s="4"/>
      <c r="B1159" s="4"/>
    </row>
    <row r="1160" spans="1:2" ht="12.75">
      <c r="A1160" s="4"/>
      <c r="B1160" s="4"/>
    </row>
    <row r="1161" spans="1:2" ht="12.75">
      <c r="A1161" s="4"/>
      <c r="B1161" s="4"/>
    </row>
    <row r="1162" spans="1:2" ht="12.75">
      <c r="A1162" s="4"/>
      <c r="B1162" s="4"/>
    </row>
    <row r="1163" spans="1:2" ht="12.75">
      <c r="A1163" s="4"/>
      <c r="B1163" s="4"/>
    </row>
    <row r="1164" spans="1:2" ht="12.75">
      <c r="A1164" s="4"/>
      <c r="B1164" s="4"/>
    </row>
    <row r="1165" spans="1:2" ht="12.75">
      <c r="A1165" s="4"/>
      <c r="B1165" s="4"/>
    </row>
    <row r="1166" spans="1:2" ht="12.75">
      <c r="A1166" s="4"/>
      <c r="B1166" s="4"/>
    </row>
    <row r="1167" spans="1:2" ht="12.75">
      <c r="A1167" s="4"/>
      <c r="B1167" s="4"/>
    </row>
    <row r="1168" spans="1:2" ht="12.75">
      <c r="A1168" s="4"/>
      <c r="B1168" s="4"/>
    </row>
    <row r="1169" spans="1:2" ht="12.75">
      <c r="A1169" s="4"/>
      <c r="B1169" s="4"/>
    </row>
    <row r="1170" spans="1:2" ht="12.75">
      <c r="A1170" s="4"/>
      <c r="B1170" s="4"/>
    </row>
    <row r="1171" spans="1:2" ht="12.75">
      <c r="A1171" s="4"/>
      <c r="B1171" s="4"/>
    </row>
    <row r="1172" spans="1:2" ht="12.75">
      <c r="A1172" s="4"/>
      <c r="B1172" s="4"/>
    </row>
    <row r="1173" spans="1:2" ht="12.75">
      <c r="A1173" s="4"/>
      <c r="B1173" s="4"/>
    </row>
    <row r="1174" spans="1:2" ht="12.75">
      <c r="A1174" s="4"/>
      <c r="B1174" s="4"/>
    </row>
    <row r="1175" spans="1:2" ht="12.75">
      <c r="A1175" s="4"/>
      <c r="B1175" s="4"/>
    </row>
    <row r="1176" spans="1:2" ht="12.75">
      <c r="A1176" s="4"/>
      <c r="B1176" s="4"/>
    </row>
    <row r="1177" spans="1:2" ht="12.75">
      <c r="A1177" s="4"/>
      <c r="B1177" s="4"/>
    </row>
    <row r="1178" spans="1:2" ht="12.75">
      <c r="A1178" s="4"/>
      <c r="B1178" s="4"/>
    </row>
    <row r="1179" spans="1:2" ht="12.75">
      <c r="A1179" s="4"/>
      <c r="B1179" s="4"/>
    </row>
    <row r="1180" spans="1:2" ht="12.75">
      <c r="A1180" s="4"/>
      <c r="B1180" s="4"/>
    </row>
    <row r="1181" spans="1:2" ht="12.75">
      <c r="A1181" s="4"/>
      <c r="B1181" s="4"/>
    </row>
    <row r="1182" spans="1:2" ht="12.75">
      <c r="A1182" s="4"/>
      <c r="B1182" s="4"/>
    </row>
    <row r="1183" spans="1:2" ht="12.75">
      <c r="A1183" s="4"/>
      <c r="B1183" s="4"/>
    </row>
    <row r="1184" spans="1:2" ht="12.75">
      <c r="A1184" s="4"/>
      <c r="B1184" s="4"/>
    </row>
    <row r="1185" spans="1:2" ht="12.75">
      <c r="A1185" s="4"/>
      <c r="B1185" s="4"/>
    </row>
    <row r="1186" spans="1:2" ht="12.75">
      <c r="A1186" s="4"/>
      <c r="B1186" s="4"/>
    </row>
    <row r="1187" spans="1:2" ht="12.75">
      <c r="A1187" s="4"/>
      <c r="B1187" s="4"/>
    </row>
    <row r="1188" spans="1:2" ht="12.75">
      <c r="A1188" s="4"/>
      <c r="B1188" s="4"/>
    </row>
    <row r="1189" spans="1:2" ht="12.75">
      <c r="A1189" s="4"/>
      <c r="B1189" s="4"/>
    </row>
    <row r="1190" spans="1:2" ht="12.75">
      <c r="A1190" s="4"/>
      <c r="B1190" s="4"/>
    </row>
    <row r="1191" spans="1:2" ht="12.75">
      <c r="A1191" s="4"/>
      <c r="B1191" s="4"/>
    </row>
    <row r="1192" spans="1:2" ht="12.75">
      <c r="A1192" s="4"/>
      <c r="B1192" s="4"/>
    </row>
    <row r="1193" spans="1:2" ht="12.75">
      <c r="A1193" s="4"/>
      <c r="B1193" s="4"/>
    </row>
    <row r="1194" spans="1:2" ht="12.75">
      <c r="A1194" s="4"/>
      <c r="B1194" s="4"/>
    </row>
    <row r="1195" spans="1:2" ht="12.75">
      <c r="A1195" s="4"/>
      <c r="B1195" s="4"/>
    </row>
    <row r="1196" spans="1:2" ht="12.75">
      <c r="A1196" s="4"/>
      <c r="B1196" s="4"/>
    </row>
    <row r="1197" spans="1:2" ht="12.75">
      <c r="A1197" s="4"/>
      <c r="B1197" s="4"/>
    </row>
    <row r="1198" spans="1:2" ht="12.75">
      <c r="A1198" s="4"/>
      <c r="B1198" s="4"/>
    </row>
    <row r="1199" spans="1:2" ht="12.75">
      <c r="A1199" s="4"/>
      <c r="B1199" s="4"/>
    </row>
    <row r="1200" spans="1:2" ht="12.75">
      <c r="A1200" s="4"/>
      <c r="B1200" s="4"/>
    </row>
    <row r="1201" spans="1:2" ht="12.75">
      <c r="A1201" s="4"/>
      <c r="B1201" s="4"/>
    </row>
    <row r="1202" spans="1:2" ht="12.75">
      <c r="A1202" s="4"/>
      <c r="B1202" s="4"/>
    </row>
    <row r="1203" spans="1:2" ht="12.75">
      <c r="A1203" s="4"/>
      <c r="B1203" s="4"/>
    </row>
    <row r="1204" spans="1:2" ht="12.75">
      <c r="A1204" s="4"/>
      <c r="B1204" s="4"/>
    </row>
    <row r="1205" spans="1:2" ht="12.75">
      <c r="A1205" s="4"/>
      <c r="B1205" s="4"/>
    </row>
    <row r="1206" spans="1:2" ht="12.75">
      <c r="A1206" s="4"/>
      <c r="B1206" s="4"/>
    </row>
    <row r="1207" spans="1:2" ht="12.75">
      <c r="A1207" s="4"/>
      <c r="B1207" s="4"/>
    </row>
    <row r="1208" spans="1:2" ht="12.75">
      <c r="A1208" s="4"/>
      <c r="B1208" s="4"/>
    </row>
    <row r="1209" spans="1:2" ht="12.75">
      <c r="A1209" s="4"/>
      <c r="B1209" s="4"/>
    </row>
    <row r="1210" spans="1:2" ht="12.75">
      <c r="A1210" s="4"/>
      <c r="B1210" s="4"/>
    </row>
    <row r="1211" spans="1:2" ht="12.75">
      <c r="A1211" s="4"/>
      <c r="B1211" s="4"/>
    </row>
    <row r="1212" spans="1:2" ht="12.75">
      <c r="A1212" s="4"/>
      <c r="B1212" s="4"/>
    </row>
    <row r="1213" spans="1:2" ht="12.75">
      <c r="A1213" s="4"/>
      <c r="B1213" s="4"/>
    </row>
    <row r="1214" spans="1:2" ht="12.75">
      <c r="A1214" s="4"/>
      <c r="B1214" s="4"/>
    </row>
    <row r="1215" spans="1:2" ht="12.75">
      <c r="A1215" s="4"/>
      <c r="B1215" s="4"/>
    </row>
    <row r="1216" spans="1:2" ht="12.75">
      <c r="A1216" s="4"/>
      <c r="B1216" s="4"/>
    </row>
    <row r="1217" spans="1:2" ht="12.75">
      <c r="A1217" s="4"/>
      <c r="B1217" s="4"/>
    </row>
    <row r="1218" spans="1:2" ht="12.75">
      <c r="A1218" s="4"/>
      <c r="B1218" s="4"/>
    </row>
    <row r="1219" spans="1:2" ht="12.75">
      <c r="A1219" s="4"/>
      <c r="B1219" s="4"/>
    </row>
    <row r="1220" spans="1:2" ht="12.75">
      <c r="A1220" s="4"/>
      <c r="B1220" s="4"/>
    </row>
    <row r="1221" spans="1:2" ht="12.75">
      <c r="A1221" s="4"/>
      <c r="B1221" s="4"/>
    </row>
    <row r="1222" spans="1:2" ht="12.75">
      <c r="A1222" s="4"/>
      <c r="B1222" s="4"/>
    </row>
    <row r="1223" spans="1:2" ht="12.75">
      <c r="A1223" s="4"/>
      <c r="B1223" s="4"/>
    </row>
    <row r="1224" spans="1:2" ht="12.75">
      <c r="A1224" s="4"/>
      <c r="B1224" s="4"/>
    </row>
    <row r="1225" spans="1:2" ht="12.75">
      <c r="A1225" s="4"/>
      <c r="B1225" s="4"/>
    </row>
    <row r="1226" spans="1:2" ht="12.75">
      <c r="A1226" s="4"/>
      <c r="B1226" s="4"/>
    </row>
    <row r="1227" spans="1:2" ht="12.75">
      <c r="A1227" s="4"/>
      <c r="B1227" s="4"/>
    </row>
    <row r="1228" spans="1:2" ht="12.75">
      <c r="A1228" s="4"/>
      <c r="B1228" s="4"/>
    </row>
    <row r="1229" spans="1:2" ht="12.75">
      <c r="A1229" s="4"/>
      <c r="B1229" s="4"/>
    </row>
    <row r="1230" spans="1:2" ht="12.75">
      <c r="A1230" s="4"/>
      <c r="B1230" s="4"/>
    </row>
    <row r="1231" spans="1:2" ht="12.75">
      <c r="A1231" s="4"/>
      <c r="B1231" s="4"/>
    </row>
    <row r="1232" spans="1:2" ht="12.75">
      <c r="A1232" s="4"/>
      <c r="B1232" s="4"/>
    </row>
    <row r="1233" spans="1:2" ht="12.75">
      <c r="A1233" s="4"/>
      <c r="B1233" s="4"/>
    </row>
    <row r="1234" spans="1:2" ht="12.75">
      <c r="A1234" s="4"/>
      <c r="B1234" s="4"/>
    </row>
    <row r="1235" spans="1:2" ht="12.75">
      <c r="A1235" s="4"/>
      <c r="B1235" s="4"/>
    </row>
    <row r="1236" spans="1:2" ht="12.75">
      <c r="A1236" s="4"/>
      <c r="B1236" s="4"/>
    </row>
    <row r="1237" spans="1:2" ht="12.75">
      <c r="A1237" s="4"/>
      <c r="B1237" s="4"/>
    </row>
    <row r="1238" spans="1:2" ht="12.75">
      <c r="A1238" s="4"/>
      <c r="B1238" s="4"/>
    </row>
    <row r="1239" spans="1:2" ht="12.75">
      <c r="A1239" s="4"/>
      <c r="B1239" s="4"/>
    </row>
    <row r="1240" spans="1:2" ht="12.75">
      <c r="A1240" s="4"/>
      <c r="B1240" s="4"/>
    </row>
    <row r="1241" spans="1:2" ht="12.75">
      <c r="A1241" s="4"/>
      <c r="B1241" s="4"/>
    </row>
    <row r="1242" spans="1:2" ht="12.75">
      <c r="A1242" s="4"/>
      <c r="B1242" s="4"/>
    </row>
    <row r="1243" spans="1:2" ht="12.75">
      <c r="A1243" s="4"/>
      <c r="B1243" s="4"/>
    </row>
    <row r="1244" spans="1:2" ht="12.75">
      <c r="A1244" s="4"/>
      <c r="B1244" s="4"/>
    </row>
    <row r="1245" spans="1:2" ht="12.75">
      <c r="A1245" s="4"/>
      <c r="B1245" s="4"/>
    </row>
    <row r="1246" spans="1:2" ht="12.75">
      <c r="A1246" s="4"/>
      <c r="B1246" s="4"/>
    </row>
    <row r="1247" spans="1:2" ht="12.75">
      <c r="A1247" s="4"/>
      <c r="B1247" s="4"/>
    </row>
    <row r="1248" spans="1:2" ht="12.75">
      <c r="A1248" s="4"/>
      <c r="B1248" s="4"/>
    </row>
    <row r="1249" spans="1:2" ht="12.75">
      <c r="A1249" s="4"/>
      <c r="B1249" s="4"/>
    </row>
    <row r="1250" spans="1:2" ht="12.75">
      <c r="A1250" s="4"/>
      <c r="B1250" s="4"/>
    </row>
    <row r="1251" spans="1:2" ht="12.75">
      <c r="A1251" s="4"/>
      <c r="B1251" s="4"/>
    </row>
    <row r="1252" spans="1:2" ht="12.75">
      <c r="A1252" s="4"/>
      <c r="B1252" s="4"/>
    </row>
    <row r="1253" spans="1:2" ht="12.75">
      <c r="A1253" s="4"/>
      <c r="B1253" s="4"/>
    </row>
    <row r="1254" spans="1:2" ht="12.75">
      <c r="A1254" s="4"/>
      <c r="B1254" s="4"/>
    </row>
    <row r="1255" spans="1:2" ht="12.75">
      <c r="A1255" s="4"/>
      <c r="B1255" s="4"/>
    </row>
    <row r="1256" spans="1:2" ht="12.75">
      <c r="A1256" s="4"/>
      <c r="B1256" s="4"/>
    </row>
    <row r="1257" spans="1:2" ht="12.75">
      <c r="A1257" s="4"/>
      <c r="B1257" s="4"/>
    </row>
    <row r="1258" spans="1:2" ht="12.75">
      <c r="A1258" s="4"/>
      <c r="B1258" s="4"/>
    </row>
    <row r="1259" spans="1:2" ht="12.75">
      <c r="A1259" s="4"/>
      <c r="B1259" s="4"/>
    </row>
    <row r="1260" spans="1:2" ht="12.75">
      <c r="A1260" s="4"/>
      <c r="B1260" s="4"/>
    </row>
    <row r="1261" spans="1:2" ht="12.75">
      <c r="A1261" s="4"/>
      <c r="B1261" s="4"/>
    </row>
    <row r="1262" spans="1:2" ht="12.75">
      <c r="A1262" s="4"/>
      <c r="B1262" s="4"/>
    </row>
    <row r="1263" spans="1:2" ht="12.75">
      <c r="A1263" s="4"/>
      <c r="B1263" s="4"/>
    </row>
    <row r="1264" spans="1:2" ht="12.75">
      <c r="A1264" s="4"/>
      <c r="B1264" s="4"/>
    </row>
    <row r="1265" spans="1:2" ht="12.75">
      <c r="A1265" s="4"/>
      <c r="B1265" s="4"/>
    </row>
    <row r="1266" spans="1:2" ht="12.75">
      <c r="A1266" s="4"/>
      <c r="B1266" s="4"/>
    </row>
    <row r="1267" spans="1:2" ht="12.75">
      <c r="A1267" s="4"/>
      <c r="B1267" s="4"/>
    </row>
    <row r="1268" spans="1:2" ht="12.75">
      <c r="A1268" s="4"/>
      <c r="B1268" s="4"/>
    </row>
    <row r="1269" spans="1:2" ht="12.75">
      <c r="A1269" s="4"/>
      <c r="B1269" s="4"/>
    </row>
    <row r="1270" spans="1:2" ht="12.75">
      <c r="A1270" s="4"/>
      <c r="B1270" s="4"/>
    </row>
    <row r="1271" spans="1:2" ht="12.75">
      <c r="A1271" s="4"/>
      <c r="B1271" s="4"/>
    </row>
    <row r="1272" spans="1:2" ht="12.75">
      <c r="A1272" s="4"/>
      <c r="B1272" s="4"/>
    </row>
    <row r="1273" spans="1:2" ht="12.75">
      <c r="A1273" s="4"/>
      <c r="B1273" s="4"/>
    </row>
    <row r="1274" spans="1:2" ht="12.75">
      <c r="A1274" s="4"/>
      <c r="B1274" s="4"/>
    </row>
    <row r="1275" spans="1:2" ht="12.75">
      <c r="A1275" s="4"/>
      <c r="B1275" s="4"/>
    </row>
    <row r="1276" spans="1:2" ht="12.75">
      <c r="A1276" s="4"/>
      <c r="B1276" s="4"/>
    </row>
    <row r="1277" spans="1:2" ht="12.75">
      <c r="A1277" s="4"/>
      <c r="B1277" s="4"/>
    </row>
    <row r="1278" spans="1:2" ht="12.75">
      <c r="A1278" s="4"/>
      <c r="B1278" s="4"/>
    </row>
    <row r="1279" spans="1:2" ht="12.75">
      <c r="A1279" s="4"/>
      <c r="B1279" s="4"/>
    </row>
    <row r="1280" spans="1:2" ht="12.75">
      <c r="A1280" s="4"/>
      <c r="B1280" s="4"/>
    </row>
    <row r="1281" spans="1:2" ht="12.75">
      <c r="A1281" s="4"/>
      <c r="B1281" s="4"/>
    </row>
    <row r="1282" spans="1:2" ht="12.75">
      <c r="A1282" s="4"/>
      <c r="B1282" s="4"/>
    </row>
    <row r="1283" spans="1:2" ht="12.75">
      <c r="A1283" s="4"/>
      <c r="B1283" s="4"/>
    </row>
    <row r="1284" spans="1:2" ht="12.75">
      <c r="A1284" s="4"/>
      <c r="B1284" s="4"/>
    </row>
    <row r="1285" spans="1:2" ht="12.75">
      <c r="A1285" s="4"/>
      <c r="B1285" s="4"/>
    </row>
    <row r="1286" spans="1:2" ht="12.75">
      <c r="A1286" s="4"/>
      <c r="B1286" s="4"/>
    </row>
    <row r="1287" spans="1:2" ht="12.75">
      <c r="A1287" s="4"/>
      <c r="B1287" s="4"/>
    </row>
    <row r="1288" spans="1:2" ht="12.75">
      <c r="A1288" s="4"/>
      <c r="B1288" s="4"/>
    </row>
    <row r="1289" spans="1:2" ht="12.75">
      <c r="A1289" s="4"/>
      <c r="B1289" s="4"/>
    </row>
    <row r="1290" spans="1:2" ht="12.75">
      <c r="A1290" s="4"/>
      <c r="B1290" s="4"/>
    </row>
    <row r="1291" spans="1:2" ht="12.75">
      <c r="A1291" s="4"/>
      <c r="B1291" s="4"/>
    </row>
    <row r="1292" spans="1:2" ht="12.75">
      <c r="A1292" s="4"/>
      <c r="B1292" s="4"/>
    </row>
    <row r="1293" spans="1:2" ht="12.75">
      <c r="A1293" s="4"/>
      <c r="B1293" s="4"/>
    </row>
    <row r="1294" spans="1:2" ht="12.75">
      <c r="A1294" s="4"/>
      <c r="B1294" s="4"/>
    </row>
    <row r="1295" spans="1:2" ht="12.75">
      <c r="A1295" s="4"/>
      <c r="B1295" s="4"/>
    </row>
    <row r="1296" spans="1:2" ht="12.75">
      <c r="A1296" s="4"/>
      <c r="B1296" s="4"/>
    </row>
    <row r="1297" spans="1:2" ht="12.75">
      <c r="A1297" s="4"/>
      <c r="B1297" s="4"/>
    </row>
    <row r="1298" spans="1:2" ht="12.75">
      <c r="A1298" s="4"/>
      <c r="B1298" s="4"/>
    </row>
    <row r="1299" spans="1:2" ht="12.75">
      <c r="A1299" s="4"/>
      <c r="B1299" s="4"/>
    </row>
    <row r="1300" spans="1:2" ht="12.75">
      <c r="A1300" s="4"/>
      <c r="B1300" s="4"/>
    </row>
    <row r="1301" spans="1:2" ht="12.75">
      <c r="A1301" s="4"/>
      <c r="B1301" s="4"/>
    </row>
    <row r="1302" spans="1:2" ht="12.75">
      <c r="A1302" s="4"/>
      <c r="B1302" s="4"/>
    </row>
    <row r="1303" spans="1:2" ht="12.75">
      <c r="A1303" s="4"/>
      <c r="B1303" s="4"/>
    </row>
    <row r="1304" spans="1:2" ht="12.75">
      <c r="A1304" s="4"/>
      <c r="B1304" s="4"/>
    </row>
    <row r="1305" spans="1:2" ht="12.75">
      <c r="A1305" s="4"/>
      <c r="B1305" s="4"/>
    </row>
    <row r="1306" spans="1:2" ht="12.75">
      <c r="A1306" s="4"/>
      <c r="B1306" s="4"/>
    </row>
    <row r="1307" spans="1:2" ht="12.75">
      <c r="A1307" s="4"/>
      <c r="B1307" s="4"/>
    </row>
    <row r="1308" spans="1:2" ht="12.75">
      <c r="A1308" s="4"/>
      <c r="B1308" s="4"/>
    </row>
    <row r="1309" spans="1:2" ht="12.75">
      <c r="A1309" s="4"/>
      <c r="B1309" s="4"/>
    </row>
    <row r="1310" spans="1:2" ht="12.75">
      <c r="A1310" s="4"/>
      <c r="B1310" s="4"/>
    </row>
    <row r="1311" spans="1:2" ht="12.75">
      <c r="A1311" s="4"/>
      <c r="B1311" s="4"/>
    </row>
    <row r="1312" spans="1:2" ht="12.75">
      <c r="A1312" s="4"/>
      <c r="B1312" s="4"/>
    </row>
    <row r="1313" spans="1:2" ht="12.75">
      <c r="A1313" s="4"/>
      <c r="B1313" s="4"/>
    </row>
    <row r="1314" spans="1:2" ht="12.75">
      <c r="A1314" s="4"/>
      <c r="B1314" s="4"/>
    </row>
    <row r="1315" spans="1:2" ht="12.75">
      <c r="A1315" s="4"/>
      <c r="B1315" s="4"/>
    </row>
    <row r="1316" spans="1:2" ht="12.75">
      <c r="A1316" s="4"/>
      <c r="B1316" s="4"/>
    </row>
    <row r="1317" spans="1:2" ht="12.75">
      <c r="A1317" s="4"/>
      <c r="B1317" s="4"/>
    </row>
    <row r="1318" spans="1:2" ht="12.75">
      <c r="A1318" s="4"/>
      <c r="B1318" s="4"/>
    </row>
    <row r="1319" spans="1:2" ht="12.75">
      <c r="A1319" s="4"/>
      <c r="B1319" s="4"/>
    </row>
    <row r="1320" spans="1:2" ht="12.75">
      <c r="A1320" s="4"/>
      <c r="B1320" s="4"/>
    </row>
    <row r="1321" spans="1:2" ht="12.75">
      <c r="A1321" s="4"/>
      <c r="B1321" s="4"/>
    </row>
    <row r="1322" spans="1:2" ht="12.75">
      <c r="A1322" s="4"/>
      <c r="B1322" s="4"/>
    </row>
    <row r="1323" spans="1:2" ht="12.75">
      <c r="A1323" s="4"/>
      <c r="B1323" s="4"/>
    </row>
    <row r="1324" spans="1:2" ht="12.75">
      <c r="A1324" s="4"/>
      <c r="B1324" s="4"/>
    </row>
    <row r="1325" spans="1:2" ht="12.75">
      <c r="A1325" s="4"/>
      <c r="B1325" s="4"/>
    </row>
    <row r="1326" spans="1:2" ht="12.75">
      <c r="A1326" s="4"/>
      <c r="B1326" s="4"/>
    </row>
    <row r="1327" spans="1:2" ht="12.75">
      <c r="A1327" s="4"/>
      <c r="B1327" s="4"/>
    </row>
    <row r="1328" spans="1:2" ht="12.75">
      <c r="A1328" s="4"/>
      <c r="B1328" s="4"/>
    </row>
    <row r="1329" spans="1:2" ht="12.75">
      <c r="A1329" s="4"/>
      <c r="B1329" s="4"/>
    </row>
    <row r="1330" spans="1:2" ht="12.75">
      <c r="A1330" s="4"/>
      <c r="B1330" s="4"/>
    </row>
    <row r="1331" spans="1:2" ht="12.75">
      <c r="A1331" s="4"/>
      <c r="B1331" s="4"/>
    </row>
    <row r="1332" spans="1:2" ht="12.75">
      <c r="A1332" s="4"/>
      <c r="B1332" s="4"/>
    </row>
    <row r="1333" spans="1:2" ht="12.75">
      <c r="A1333" s="4"/>
      <c r="B1333" s="4"/>
    </row>
    <row r="1334" spans="1:2" ht="12.75">
      <c r="A1334" s="4"/>
      <c r="B1334" s="4"/>
    </row>
    <row r="1335" spans="1:2" ht="12.75">
      <c r="A1335" s="4"/>
      <c r="B1335" s="4"/>
    </row>
    <row r="1336" spans="1:2" ht="12.75">
      <c r="A1336" s="4"/>
      <c r="B1336" s="4"/>
    </row>
    <row r="1337" spans="1:2" ht="12.75">
      <c r="A1337" s="4"/>
      <c r="B1337" s="4"/>
    </row>
    <row r="1338" spans="1:2" ht="12.75">
      <c r="A1338" s="4"/>
      <c r="B1338" s="4"/>
    </row>
    <row r="1339" spans="1:2" ht="12.75">
      <c r="A1339" s="4"/>
      <c r="B1339" s="4"/>
    </row>
    <row r="1340" spans="1:2" ht="12.75">
      <c r="A1340" s="4"/>
      <c r="B1340" s="4"/>
    </row>
    <row r="1341" spans="1:2" ht="12.75">
      <c r="A1341" s="4"/>
      <c r="B1341" s="4"/>
    </row>
    <row r="1342" spans="1:2" ht="12.75">
      <c r="A1342" s="4"/>
      <c r="B1342" s="4"/>
    </row>
    <row r="1343" spans="1:2" ht="12.75">
      <c r="A1343" s="4"/>
      <c r="B1343" s="4"/>
    </row>
    <row r="1344" spans="1:2" ht="12.75">
      <c r="A1344" s="4"/>
      <c r="B1344" s="4"/>
    </row>
    <row r="1345" spans="1:2" ht="12.75">
      <c r="A1345" s="4"/>
      <c r="B1345" s="4"/>
    </row>
    <row r="1346" spans="1:2" ht="12.75">
      <c r="A1346" s="4"/>
      <c r="B1346" s="4"/>
    </row>
    <row r="1347" spans="1:2" ht="12.75">
      <c r="A1347" s="4"/>
      <c r="B1347" s="4"/>
    </row>
    <row r="1348" spans="1:2" ht="12.75">
      <c r="A1348" s="4"/>
      <c r="B1348" s="4"/>
    </row>
    <row r="1349" spans="1:2" ht="12.75">
      <c r="A1349" s="4"/>
      <c r="B1349" s="4"/>
    </row>
    <row r="1350" spans="1:2" ht="12.75">
      <c r="A1350" s="4"/>
      <c r="B1350" s="4"/>
    </row>
    <row r="1351" spans="1:2" ht="12.75">
      <c r="A1351" s="4"/>
      <c r="B1351" s="4"/>
    </row>
    <row r="1352" spans="1:2" ht="12.75">
      <c r="A1352" s="4"/>
      <c r="B1352" s="4"/>
    </row>
    <row r="1353" spans="1:2" ht="12.75">
      <c r="A1353" s="4"/>
      <c r="B1353" s="4"/>
    </row>
    <row r="1354" spans="1:2" ht="12.75">
      <c r="A1354" s="4"/>
      <c r="B1354" s="4"/>
    </row>
    <row r="1355" spans="1:2" ht="12.75">
      <c r="A1355" s="4"/>
      <c r="B1355" s="4"/>
    </row>
    <row r="1356" spans="1:2" ht="12.75">
      <c r="A1356" s="4"/>
      <c r="B1356" s="4"/>
    </row>
    <row r="1357" spans="1:2" ht="12.75">
      <c r="A1357" s="4"/>
      <c r="B1357" s="4"/>
    </row>
    <row r="1358" spans="1:2" ht="12.75">
      <c r="A1358" s="4"/>
      <c r="B1358" s="4"/>
    </row>
    <row r="1359" spans="1:2" ht="12.75">
      <c r="A1359" s="4"/>
      <c r="B1359" s="4"/>
    </row>
    <row r="1360" spans="1:2" ht="12.75">
      <c r="A1360" s="4"/>
      <c r="B1360" s="4"/>
    </row>
    <row r="1361" spans="1:2" ht="12.75">
      <c r="A1361" s="4"/>
      <c r="B1361" s="4"/>
    </row>
    <row r="1362" spans="1:2" ht="12.75">
      <c r="A1362" s="4"/>
      <c r="B1362" s="4"/>
    </row>
    <row r="1363" spans="1:2" ht="12.75">
      <c r="A1363" s="4"/>
      <c r="B1363" s="4"/>
    </row>
    <row r="1364" spans="1:2" ht="12.75">
      <c r="A1364" s="4"/>
      <c r="B1364" s="4"/>
    </row>
    <row r="1365" spans="1:2" ht="12.75">
      <c r="A1365" s="4"/>
      <c r="B1365" s="4"/>
    </row>
    <row r="1366" spans="1:2" ht="12.75">
      <c r="A1366" s="4"/>
      <c r="B1366" s="4"/>
    </row>
    <row r="1367" spans="1:2" ht="12.75">
      <c r="A1367" s="4"/>
      <c r="B1367" s="4"/>
    </row>
    <row r="1368" spans="1:2" ht="12.75">
      <c r="A1368" s="4"/>
      <c r="B1368" s="4"/>
    </row>
    <row r="1369" spans="1:2" ht="12.75">
      <c r="A1369" s="4"/>
      <c r="B1369" s="4"/>
    </row>
    <row r="1370" spans="1:2" ht="12.75">
      <c r="A1370" s="4"/>
      <c r="B1370" s="4"/>
    </row>
    <row r="1371" spans="1:2" ht="12.75">
      <c r="A1371" s="4"/>
      <c r="B1371" s="4"/>
    </row>
    <row r="1372" spans="1:2" ht="12.75">
      <c r="A1372" s="4"/>
      <c r="B1372" s="4"/>
    </row>
    <row r="1373" spans="1:2" ht="12.75">
      <c r="A1373" s="4"/>
      <c r="B1373" s="4"/>
    </row>
    <row r="1374" spans="1:2" ht="12.75">
      <c r="A1374" s="4"/>
      <c r="B1374" s="4"/>
    </row>
    <row r="1375" spans="1:2" ht="12.75">
      <c r="A1375" s="4"/>
      <c r="B1375" s="4"/>
    </row>
    <row r="1376" spans="1:2" ht="12.75">
      <c r="A1376" s="4"/>
      <c r="B1376" s="4"/>
    </row>
    <row r="1377" spans="1:2" ht="12.75">
      <c r="A1377" s="4"/>
      <c r="B1377" s="4"/>
    </row>
    <row r="1378" spans="1:2" ht="12.75">
      <c r="A1378" s="4"/>
      <c r="B1378" s="4"/>
    </row>
    <row r="1379" spans="1:2" ht="12.75">
      <c r="A1379" s="4"/>
      <c r="B1379" s="4"/>
    </row>
    <row r="1380" spans="1:2" ht="12.75">
      <c r="A1380" s="4"/>
      <c r="B1380" s="4"/>
    </row>
    <row r="1381" spans="1:2" ht="12.75">
      <c r="A1381" s="4"/>
      <c r="B1381" s="4"/>
    </row>
    <row r="1382" spans="1:2" ht="12.75">
      <c r="A1382" s="4"/>
      <c r="B1382" s="4"/>
    </row>
    <row r="1383" spans="1:2" ht="12.75">
      <c r="A1383" s="4"/>
      <c r="B1383" s="4"/>
    </row>
    <row r="1384" spans="1:2" ht="12.75">
      <c r="A1384" s="4"/>
      <c r="B1384" s="4"/>
    </row>
    <row r="1385" spans="1:2" ht="12.75">
      <c r="A1385" s="4"/>
      <c r="B1385" s="4"/>
    </row>
    <row r="1386" spans="1:2" ht="12.75">
      <c r="A1386" s="4"/>
      <c r="B1386" s="4"/>
    </row>
    <row r="1387" spans="1:2" ht="12.75">
      <c r="A1387" s="4"/>
      <c r="B1387" s="4"/>
    </row>
    <row r="1388" spans="1:2" ht="12.75">
      <c r="A1388" s="4"/>
      <c r="B1388" s="4"/>
    </row>
    <row r="1389" spans="1:2" ht="12.75">
      <c r="A1389" s="4"/>
      <c r="B1389" s="4"/>
    </row>
    <row r="1390" spans="1:2" ht="12.75">
      <c r="A1390" s="4"/>
      <c r="B1390" s="4"/>
    </row>
    <row r="1391" spans="1:2" ht="12.75">
      <c r="A1391" s="4"/>
      <c r="B1391" s="4"/>
    </row>
    <row r="1392" spans="1:2" ht="12.75">
      <c r="A1392" s="4"/>
      <c r="B1392" s="4"/>
    </row>
    <row r="1393" spans="1:2" ht="12.75">
      <c r="A1393" s="4"/>
      <c r="B1393" s="4"/>
    </row>
    <row r="1394" spans="1:2" ht="12.75">
      <c r="A1394" s="4"/>
      <c r="B1394" s="4"/>
    </row>
    <row r="1395" spans="1:2" ht="12.75">
      <c r="A1395" s="4"/>
      <c r="B1395" s="4"/>
    </row>
    <row r="1396" spans="1:2" ht="12.75">
      <c r="A1396" s="4"/>
      <c r="B1396" s="4"/>
    </row>
    <row r="1397" spans="1:2" ht="12.75">
      <c r="A1397" s="4"/>
      <c r="B1397" s="4"/>
    </row>
    <row r="1398" spans="1:2" ht="12.75">
      <c r="A1398" s="4"/>
      <c r="B1398" s="4"/>
    </row>
    <row r="1399" spans="1:2" ht="12.75">
      <c r="A1399" s="4"/>
      <c r="B1399" s="4"/>
    </row>
    <row r="1400" spans="1:2" ht="12.75">
      <c r="A1400" s="4"/>
      <c r="B1400" s="4"/>
    </row>
    <row r="1401" spans="1:2" ht="12.75">
      <c r="A1401" s="4"/>
      <c r="B1401" s="4"/>
    </row>
    <row r="1402" spans="1:2" ht="12.75">
      <c r="A1402" s="4"/>
      <c r="B1402" s="4"/>
    </row>
    <row r="1403" spans="1:2" ht="12.75">
      <c r="A1403" s="4"/>
      <c r="B1403" s="4"/>
    </row>
    <row r="1404" spans="1:2" ht="12.75">
      <c r="A1404" s="4"/>
      <c r="B1404" s="4"/>
    </row>
    <row r="1405" spans="1:2" ht="12.75">
      <c r="A1405" s="4"/>
      <c r="B1405" s="4"/>
    </row>
    <row r="1406" spans="1:2" ht="12.75">
      <c r="A1406" s="4"/>
      <c r="B1406" s="4"/>
    </row>
    <row r="1407" spans="1:2" ht="12.75">
      <c r="A1407" s="4"/>
      <c r="B1407" s="4"/>
    </row>
    <row r="1408" spans="1:2" ht="12.75">
      <c r="A1408" s="4"/>
      <c r="B1408" s="4"/>
    </row>
    <row r="1409" spans="1:2" ht="12.75">
      <c r="A1409" s="4"/>
      <c r="B1409" s="4"/>
    </row>
    <row r="1410" spans="1:2" ht="12.75">
      <c r="A1410" s="4"/>
      <c r="B1410" s="4"/>
    </row>
    <row r="1411" spans="1:2" ht="12.75">
      <c r="A1411" s="4"/>
      <c r="B1411" s="4"/>
    </row>
    <row r="1412" spans="1:2" ht="12.75">
      <c r="A1412" s="4"/>
      <c r="B1412" s="4"/>
    </row>
    <row r="1413" spans="1:2" ht="12.75">
      <c r="A1413" s="4"/>
      <c r="B1413" s="4"/>
    </row>
    <row r="1414" spans="1:2" ht="12.75">
      <c r="A1414" s="4"/>
      <c r="B1414" s="4"/>
    </row>
    <row r="1415" spans="1:2" ht="12.75">
      <c r="A1415" s="4"/>
      <c r="B1415" s="4"/>
    </row>
    <row r="1416" spans="1:2" ht="12.75">
      <c r="A1416" s="4"/>
      <c r="B1416" s="4"/>
    </row>
    <row r="1417" spans="1:2" ht="12.75">
      <c r="A1417" s="4"/>
      <c r="B1417" s="4"/>
    </row>
    <row r="1418" spans="1:2" ht="12.75">
      <c r="A1418" s="4"/>
      <c r="B1418" s="4"/>
    </row>
    <row r="1419" spans="1:2" ht="12.75">
      <c r="A1419" s="4"/>
      <c r="B1419" s="4"/>
    </row>
    <row r="1420" spans="1:2" ht="12.75">
      <c r="A1420" s="4"/>
      <c r="B1420" s="4"/>
    </row>
    <row r="1421" spans="1:2" ht="12.75">
      <c r="A1421" s="4"/>
      <c r="B1421" s="4"/>
    </row>
    <row r="1422" spans="1:2" ht="12.75">
      <c r="A1422" s="4"/>
      <c r="B1422" s="4"/>
    </row>
    <row r="1423" spans="1:2" ht="12.75">
      <c r="A1423" s="4"/>
      <c r="B1423" s="4"/>
    </row>
    <row r="1424" spans="1:2" ht="12.75">
      <c r="A1424" s="4"/>
      <c r="B1424" s="4"/>
    </row>
    <row r="1425" spans="1:2" ht="12.75">
      <c r="A1425" s="4"/>
      <c r="B1425" s="4"/>
    </row>
    <row r="1426" spans="1:2" ht="12.75">
      <c r="A1426" s="4"/>
      <c r="B1426" s="4"/>
    </row>
    <row r="1427" spans="1:2" ht="12.75">
      <c r="A1427" s="4"/>
      <c r="B1427" s="4"/>
    </row>
    <row r="1428" spans="1:2" ht="12.75">
      <c r="A1428" s="4"/>
      <c r="B1428" s="4"/>
    </row>
    <row r="1429" spans="1:2" ht="12.75">
      <c r="A1429" s="4"/>
      <c r="B1429" s="4"/>
    </row>
    <row r="1430" spans="1:2" ht="12.75">
      <c r="A1430" s="4"/>
      <c r="B1430" s="4"/>
    </row>
    <row r="1431" spans="1:2" ht="12.75">
      <c r="A1431" s="4"/>
      <c r="B1431" s="4"/>
    </row>
    <row r="1432" spans="1:2" ht="12.75">
      <c r="A1432" s="4"/>
      <c r="B1432" s="4"/>
    </row>
    <row r="1433" spans="1:2" ht="12.75">
      <c r="A1433" s="4"/>
      <c r="B1433" s="4"/>
    </row>
    <row r="1434" spans="1:2" ht="12.75">
      <c r="A1434" s="4"/>
      <c r="B1434" s="4"/>
    </row>
    <row r="1435" spans="1:2" ht="12.75">
      <c r="A1435" s="4"/>
      <c r="B1435" s="4"/>
    </row>
    <row r="1436" spans="1:2" ht="12.75">
      <c r="A1436" s="4"/>
      <c r="B1436" s="4"/>
    </row>
    <row r="1437" spans="1:2" ht="12.75">
      <c r="A1437" s="4"/>
      <c r="B1437" s="4"/>
    </row>
    <row r="1438" spans="1:2" ht="12.75">
      <c r="A1438" s="4"/>
      <c r="B1438" s="4"/>
    </row>
    <row r="1439" spans="1:2" ht="12.75">
      <c r="A1439" s="4"/>
      <c r="B1439" s="4"/>
    </row>
    <row r="1440" spans="1:2" ht="12.75">
      <c r="A1440" s="4"/>
      <c r="B1440" s="4"/>
    </row>
    <row r="1441" spans="1:2" ht="12.75">
      <c r="A1441" s="4"/>
      <c r="B1441" s="4"/>
    </row>
    <row r="1442" spans="1:2" ht="12.75">
      <c r="A1442" s="4"/>
      <c r="B1442" s="4"/>
    </row>
    <row r="1443" spans="1:2" ht="12.75">
      <c r="A1443" s="4"/>
      <c r="B1443" s="4"/>
    </row>
    <row r="1444" spans="1:2" ht="12.75">
      <c r="A1444" s="4"/>
      <c r="B1444" s="4"/>
    </row>
    <row r="1445" spans="1:2" ht="12.75">
      <c r="A1445" s="4"/>
      <c r="B1445" s="4"/>
    </row>
    <row r="1446" spans="1:2" ht="12.75">
      <c r="A1446" s="4"/>
      <c r="B1446" s="4"/>
    </row>
    <row r="1447" spans="1:2" ht="12.75">
      <c r="A1447" s="4"/>
      <c r="B1447" s="4"/>
    </row>
    <row r="1448" spans="1:2" ht="12.75">
      <c r="A1448" s="4"/>
      <c r="B1448" s="4"/>
    </row>
    <row r="1449" spans="1:2" ht="12.75">
      <c r="A1449" s="4"/>
      <c r="B1449" s="4"/>
    </row>
    <row r="1450" spans="1:2" ht="12.75">
      <c r="A1450" s="4"/>
      <c r="B1450" s="4"/>
    </row>
    <row r="1451" spans="1:2" ht="12.75">
      <c r="A1451" s="4"/>
      <c r="B1451" s="4"/>
    </row>
    <row r="1452" spans="1:2" ht="12.75">
      <c r="A1452" s="4"/>
      <c r="B1452" s="4"/>
    </row>
    <row r="1453" spans="1:2" ht="12.75">
      <c r="A1453" s="4"/>
      <c r="B1453" s="4"/>
    </row>
    <row r="1454" spans="1:2" ht="12.75">
      <c r="A1454" s="4"/>
      <c r="B1454" s="4"/>
    </row>
    <row r="1455" spans="1:2" ht="12.75">
      <c r="A1455" s="4"/>
      <c r="B1455" s="4"/>
    </row>
    <row r="1456" spans="1:2" ht="12.75">
      <c r="A1456" s="4"/>
      <c r="B1456" s="4"/>
    </row>
    <row r="1457" spans="1:2" ht="12.75">
      <c r="A1457" s="4"/>
      <c r="B1457" s="4"/>
    </row>
    <row r="1458" spans="1:2" ht="12.75">
      <c r="A1458" s="4"/>
      <c r="B1458" s="4"/>
    </row>
    <row r="1459" spans="1:2" ht="12.75">
      <c r="A1459" s="4"/>
      <c r="B1459" s="4"/>
    </row>
    <row r="1460" spans="1:2" ht="12.75">
      <c r="A1460" s="4"/>
      <c r="B1460" s="4"/>
    </row>
    <row r="1461" spans="1:2" ht="12.75">
      <c r="A1461" s="4"/>
      <c r="B1461" s="4"/>
    </row>
    <row r="1462" spans="1:2" ht="12.75">
      <c r="A1462" s="4"/>
      <c r="B1462" s="4"/>
    </row>
    <row r="1463" spans="1:2" ht="12.75">
      <c r="A1463" s="4"/>
      <c r="B1463" s="4"/>
    </row>
    <row r="1464" spans="1:2" ht="12.75">
      <c r="A1464" s="4"/>
      <c r="B1464" s="4"/>
    </row>
    <row r="1465" spans="1:2" ht="12.75">
      <c r="A1465" s="4"/>
      <c r="B1465" s="4"/>
    </row>
    <row r="1466" spans="1:2" ht="12.75">
      <c r="A1466" s="4"/>
      <c r="B1466" s="4"/>
    </row>
    <row r="1467" spans="1:2" ht="12.75">
      <c r="A1467" s="4"/>
      <c r="B1467" s="4"/>
    </row>
    <row r="1468" spans="1:2" ht="12.75">
      <c r="A1468" s="4"/>
      <c r="B1468" s="4"/>
    </row>
    <row r="1469" spans="1:2" ht="12.75">
      <c r="A1469" s="4"/>
      <c r="B1469" s="4"/>
    </row>
    <row r="1470" spans="1:2" ht="12.75">
      <c r="A1470" s="4"/>
      <c r="B1470" s="4"/>
    </row>
    <row r="1471" spans="1:2" ht="12.75">
      <c r="A1471" s="4"/>
      <c r="B1471" s="4"/>
    </row>
    <row r="1472" spans="1:2" ht="12.75">
      <c r="A1472" s="4"/>
      <c r="B1472" s="4"/>
    </row>
    <row r="1473" spans="1:2" ht="12.75">
      <c r="A1473" s="4"/>
      <c r="B1473" s="4"/>
    </row>
    <row r="1474" spans="1:2" ht="12.75">
      <c r="A1474" s="4"/>
      <c r="B1474" s="4"/>
    </row>
    <row r="1475" spans="1:2" ht="12.75">
      <c r="A1475" s="4"/>
      <c r="B1475" s="4"/>
    </row>
    <row r="1476" spans="1:2" ht="12.75">
      <c r="A1476" s="4"/>
      <c r="B1476" s="4"/>
    </row>
    <row r="1477" spans="1:2" ht="12.75">
      <c r="A1477" s="4"/>
      <c r="B1477" s="4"/>
    </row>
    <row r="1478" spans="1:2" ht="12.75">
      <c r="A1478" s="4"/>
      <c r="B1478" s="4"/>
    </row>
    <row r="1479" spans="1:2" ht="12.75">
      <c r="A1479" s="4"/>
      <c r="B1479" s="4"/>
    </row>
    <row r="1480" spans="1:2" ht="12.75">
      <c r="A1480" s="4"/>
      <c r="B1480" s="4"/>
    </row>
    <row r="1481" spans="1:2" ht="12.75">
      <c r="A1481" s="4"/>
      <c r="B1481" s="4"/>
    </row>
    <row r="1482" spans="1:2" ht="12.75">
      <c r="A1482" s="4"/>
      <c r="B1482" s="4"/>
    </row>
    <row r="1483" spans="1:2" ht="12.75">
      <c r="A1483" s="4"/>
      <c r="B1483" s="4"/>
    </row>
    <row r="1484" spans="1:2" ht="12.75">
      <c r="A1484" s="4"/>
      <c r="B1484" s="4"/>
    </row>
    <row r="1485" spans="1:2" ht="12.75">
      <c r="A1485" s="4"/>
      <c r="B1485" s="4"/>
    </row>
    <row r="1486" spans="1:2" ht="12.75">
      <c r="A1486" s="4"/>
      <c r="B1486" s="4"/>
    </row>
    <row r="1487" spans="1:2" ht="12.75">
      <c r="A1487" s="4"/>
      <c r="B1487" s="4"/>
    </row>
    <row r="1488" spans="1:2" ht="12.75">
      <c r="A1488" s="4"/>
      <c r="B1488" s="4"/>
    </row>
    <row r="1489" spans="1:2" ht="12.75">
      <c r="A1489" s="4"/>
      <c r="B1489" s="4"/>
    </row>
    <row r="1490" spans="1:2" ht="12.75">
      <c r="A1490" s="4"/>
      <c r="B1490" s="4"/>
    </row>
    <row r="1491" spans="1:2" ht="12.75">
      <c r="A1491" s="4"/>
      <c r="B1491" s="4"/>
    </row>
    <row r="1492" spans="1:2" ht="12.75">
      <c r="A1492" s="4"/>
      <c r="B1492" s="4"/>
    </row>
    <row r="1493" spans="1:2" ht="12.75">
      <c r="A1493" s="4"/>
      <c r="B1493" s="4"/>
    </row>
    <row r="1494" spans="1:2" ht="12.75">
      <c r="A1494" s="4"/>
      <c r="B1494" s="4"/>
    </row>
    <row r="1495" spans="1:2" ht="12.75">
      <c r="A1495" s="4"/>
      <c r="B1495" s="4"/>
    </row>
    <row r="1496" spans="1:2" ht="12.75">
      <c r="A1496" s="4"/>
      <c r="B1496" s="4"/>
    </row>
    <row r="1497" spans="1:2" ht="12.75">
      <c r="A1497" s="4"/>
      <c r="B1497" s="4"/>
    </row>
    <row r="1498" spans="1:2" ht="12.75">
      <c r="A1498" s="4"/>
      <c r="B1498" s="4"/>
    </row>
    <row r="1499" spans="1:2" ht="12.75">
      <c r="A1499" s="4"/>
      <c r="B1499" s="4"/>
    </row>
    <row r="1500" spans="1:2" ht="12.75">
      <c r="A1500" s="4"/>
      <c r="B1500" s="4"/>
    </row>
    <row r="1501" spans="1:2" ht="12.75">
      <c r="A1501" s="4"/>
      <c r="B1501" s="4"/>
    </row>
    <row r="1502" spans="1:2" ht="12.75">
      <c r="A1502" s="4"/>
      <c r="B1502" s="4"/>
    </row>
    <row r="1503" spans="1:2" ht="12.75">
      <c r="A1503" s="4"/>
      <c r="B1503" s="4"/>
    </row>
    <row r="1504" spans="1:2" ht="12.75">
      <c r="A1504" s="4"/>
      <c r="B1504" s="4"/>
    </row>
    <row r="1505" spans="1:2" ht="12.75">
      <c r="A1505" s="4"/>
      <c r="B1505" s="4"/>
    </row>
    <row r="1506" spans="1:2" ht="12.75">
      <c r="A1506" s="4"/>
      <c r="B1506" s="4"/>
    </row>
  </sheetData>
  <customSheetViews>
    <customSheetView guid="{FF9796D3-35D6-411C-AB0F-D91E06C3E1E8}" filter="1" showAutoFilter="1">
      <pageMargins left="0.7" right="0.7" top="0.75" bottom="0.75" header="0.3" footer="0.3"/>
      <autoFilter ref="B1:E557" xr:uid="{87F4C77B-4C13-4919-A690-37D19EBFCEC2}"/>
    </customSheetView>
  </customSheetViews>
  <mergeCells count="2">
    <mergeCell ref="B1:E1"/>
    <mergeCell ref="C2:E2"/>
  </mergeCells>
  <conditionalFormatting sqref="C4:C1506">
    <cfRule type="colorScale" priority="1">
      <colorScale>
        <cfvo type="min"/>
        <cfvo type="percentile" val="50"/>
        <cfvo type="max"/>
        <color rgb="FF34A853"/>
        <color rgb="FFFFE082"/>
        <color rgb="FFFF0000"/>
      </colorScale>
    </cfRule>
  </conditionalFormatting>
  <printOptions horizontalCentered="1" gridLines="1"/>
  <pageMargins left="0.7" right="0.7" top="0.75" bottom="0.75" header="0" footer="0"/>
  <pageSetup pageOrder="overThenDown" orientation="landscape" cellComments="atEnd"/>
  <colBreaks count="2" manualBreakCount="2">
    <brk id="1" man="1"/>
    <brk id="5" man="1"/>
  </colBreaks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124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59765625" defaultRowHeight="15.75" customHeight="1"/>
  <cols>
    <col min="1" max="1" width="3.46484375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7" t="s">
        <v>4</v>
      </c>
      <c r="B1" s="69" t="s">
        <v>5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6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11</v>
      </c>
      <c r="G6" s="64"/>
      <c r="H6" s="64"/>
      <c r="I6" s="65"/>
      <c r="J6" s="63" t="s">
        <v>12</v>
      </c>
      <c r="K6" s="64"/>
      <c r="L6" s="64"/>
      <c r="M6" s="65"/>
      <c r="N6" s="63" t="s">
        <v>13</v>
      </c>
      <c r="O6" s="64"/>
      <c r="P6" s="64"/>
      <c r="Q6" s="65"/>
      <c r="R6" s="63" t="s">
        <v>14</v>
      </c>
      <c r="S6" s="64"/>
      <c r="T6" s="64"/>
      <c r="U6" s="65"/>
      <c r="V6" s="63" t="s">
        <v>15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>
        <v>1</v>
      </c>
      <c r="B8" s="47" t="s">
        <v>16</v>
      </c>
      <c r="C8" s="48"/>
      <c r="D8" s="48"/>
      <c r="E8" s="49"/>
      <c r="F8" s="43"/>
      <c r="G8" s="43"/>
      <c r="H8" s="53"/>
      <c r="I8" s="43"/>
      <c r="J8" s="43"/>
      <c r="K8" s="45"/>
      <c r="L8" s="53"/>
      <c r="M8" s="53"/>
      <c r="N8" s="43"/>
      <c r="O8" s="43"/>
      <c r="P8" s="53"/>
      <c r="Q8" s="43"/>
      <c r="R8" s="43"/>
      <c r="S8" s="43"/>
      <c r="T8" s="53"/>
      <c r="U8" s="43"/>
      <c r="V8" s="43"/>
      <c r="W8" s="43"/>
      <c r="X8" s="5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36"/>
      <c r="I9" s="44"/>
      <c r="J9" s="44"/>
      <c r="K9" s="36"/>
      <c r="L9" s="36"/>
      <c r="M9" s="36"/>
      <c r="N9" s="44"/>
      <c r="O9" s="44"/>
      <c r="P9" s="36"/>
      <c r="Q9" s="44"/>
      <c r="R9" s="44"/>
      <c r="S9" s="44"/>
      <c r="T9" s="36"/>
      <c r="U9" s="44"/>
      <c r="V9" s="44"/>
      <c r="W9" s="44"/>
      <c r="X9" s="36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>
        <v>2</v>
      </c>
      <c r="B11" s="47" t="s">
        <v>19</v>
      </c>
      <c r="C11" s="48"/>
      <c r="D11" s="48"/>
      <c r="E11" s="49"/>
      <c r="F11" s="43"/>
      <c r="G11" s="43"/>
      <c r="H11" s="5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24" customHeight="1">
      <c r="A12" s="8"/>
      <c r="B12" s="50"/>
      <c r="C12" s="51"/>
      <c r="D12" s="51"/>
      <c r="E12" s="52"/>
      <c r="F12" s="44"/>
      <c r="G12" s="44"/>
      <c r="H12" s="36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>
        <v>3</v>
      </c>
      <c r="B14" s="47" t="s">
        <v>20</v>
      </c>
      <c r="C14" s="48"/>
      <c r="D14" s="48"/>
      <c r="E14" s="49"/>
      <c r="F14" s="43"/>
      <c r="G14" s="43"/>
      <c r="H14" s="5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36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>
        <v>4</v>
      </c>
      <c r="B17" s="47" t="s">
        <v>21</v>
      </c>
      <c r="C17" s="48"/>
      <c r="D17" s="48"/>
      <c r="E17" s="49"/>
      <c r="F17" s="43"/>
      <c r="G17" s="43"/>
      <c r="H17" s="5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36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22</v>
      </c>
      <c r="C20" s="48"/>
      <c r="D20" s="48"/>
      <c r="E20" s="49"/>
      <c r="F20" s="43"/>
      <c r="G20" s="43"/>
      <c r="H20" s="53"/>
      <c r="I20" s="43"/>
      <c r="J20" s="43"/>
      <c r="K20" s="45"/>
      <c r="L20" s="53"/>
      <c r="M20" s="43"/>
      <c r="N20" s="43"/>
      <c r="O20" s="43"/>
      <c r="P20" s="53"/>
      <c r="Q20" s="43"/>
      <c r="R20" s="43"/>
      <c r="S20" s="43"/>
      <c r="T20" s="53"/>
      <c r="U20" s="43"/>
      <c r="V20" s="43"/>
      <c r="W20" s="43"/>
      <c r="X20" s="5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36"/>
      <c r="I21" s="44"/>
      <c r="J21" s="44"/>
      <c r="K21" s="36"/>
      <c r="L21" s="36"/>
      <c r="M21" s="44"/>
      <c r="N21" s="44"/>
      <c r="O21" s="44"/>
      <c r="P21" s="36"/>
      <c r="Q21" s="44"/>
      <c r="R21" s="44"/>
      <c r="S21" s="44"/>
      <c r="T21" s="36"/>
      <c r="U21" s="44"/>
      <c r="V21" s="44"/>
      <c r="W21" s="44"/>
      <c r="X21" s="36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23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40"/>
      <c r="C25" s="41"/>
      <c r="D25" s="41"/>
      <c r="E25" s="42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47" t="s">
        <v>24</v>
      </c>
      <c r="C26" s="48"/>
      <c r="D26" s="48"/>
      <c r="E26" s="49"/>
      <c r="F26" s="43"/>
      <c r="G26" s="43"/>
      <c r="H26" s="53"/>
      <c r="I26" s="43"/>
      <c r="J26" s="43"/>
      <c r="K26" s="45"/>
      <c r="L26" s="53"/>
      <c r="M26" s="43"/>
      <c r="N26" s="43"/>
      <c r="O26" s="43"/>
      <c r="P26" s="53"/>
      <c r="Q26" s="43"/>
      <c r="R26" s="43"/>
      <c r="S26" s="43"/>
      <c r="T26" s="53"/>
      <c r="U26" s="43"/>
      <c r="V26" s="43"/>
      <c r="W26" s="43"/>
      <c r="X26" s="53"/>
      <c r="Y26" s="43"/>
      <c r="Z26" s="8"/>
      <c r="AA26" s="8"/>
    </row>
    <row r="27" spans="1:27" ht="12.75">
      <c r="A27" s="8"/>
      <c r="B27" s="50"/>
      <c r="C27" s="51"/>
      <c r="D27" s="51"/>
      <c r="E27" s="52"/>
      <c r="F27" s="44"/>
      <c r="G27" s="44"/>
      <c r="H27" s="36"/>
      <c r="I27" s="44"/>
      <c r="J27" s="44"/>
      <c r="K27" s="36"/>
      <c r="L27" s="36"/>
      <c r="M27" s="44"/>
      <c r="N27" s="44"/>
      <c r="O27" s="44"/>
      <c r="P27" s="36"/>
      <c r="Q27" s="44"/>
      <c r="R27" s="44"/>
      <c r="S27" s="44"/>
      <c r="T27" s="36"/>
      <c r="U27" s="44"/>
      <c r="V27" s="44"/>
      <c r="W27" s="44"/>
      <c r="X27" s="36"/>
      <c r="Y27" s="44"/>
      <c r="Z27" s="8"/>
      <c r="AA27" s="8"/>
    </row>
    <row r="28" spans="1:27" ht="15">
      <c r="A28" s="8"/>
      <c r="B28" s="40"/>
      <c r="C28" s="41"/>
      <c r="D28" s="41"/>
      <c r="E28" s="42"/>
      <c r="F28" s="17" t="s">
        <v>17</v>
      </c>
      <c r="G28" s="18">
        <f>COUNTIF(F26:G27,"✔")</f>
        <v>0</v>
      </c>
      <c r="H28" s="17" t="s">
        <v>18</v>
      </c>
      <c r="I28" s="18">
        <f>COUNTIF(H26:I27,"a")</f>
        <v>0</v>
      </c>
      <c r="J28" s="17" t="s">
        <v>17</v>
      </c>
      <c r="K28" s="18">
        <f>COUNTIF(J26:K27,"✔")</f>
        <v>0</v>
      </c>
      <c r="L28" s="17" t="s">
        <v>18</v>
      </c>
      <c r="M28" s="18">
        <f>COUNTIF(L26:M27,"a")</f>
        <v>0</v>
      </c>
      <c r="N28" s="17" t="s">
        <v>17</v>
      </c>
      <c r="O28" s="18">
        <f>COUNTIF(N26:O27,"✔")</f>
        <v>0</v>
      </c>
      <c r="P28" s="17" t="s">
        <v>18</v>
      </c>
      <c r="Q28" s="18">
        <f>COUNTIF(P26:Q27,"a")</f>
        <v>0</v>
      </c>
      <c r="R28" s="17" t="s">
        <v>17</v>
      </c>
      <c r="S28" s="18">
        <f>COUNTIF(R26:S27,"✔")</f>
        <v>0</v>
      </c>
      <c r="T28" s="17" t="s">
        <v>18</v>
      </c>
      <c r="U28" s="18">
        <f>COUNTIF(T26:U27,"a")</f>
        <v>0</v>
      </c>
      <c r="V28" s="17" t="s">
        <v>17</v>
      </c>
      <c r="W28" s="18">
        <f>COUNTIF(V26:W27,"✔")</f>
        <v>0</v>
      </c>
      <c r="X28" s="17" t="s">
        <v>18</v>
      </c>
      <c r="Y28" s="18">
        <f>COUNTIF(X26:Y27,"a")</f>
        <v>0</v>
      </c>
      <c r="Z28" s="8"/>
      <c r="AA28" s="8"/>
    </row>
    <row r="29" spans="1:27" ht="12.75">
      <c r="A29" s="8"/>
      <c r="B29" s="47" t="s">
        <v>25</v>
      </c>
      <c r="C29" s="48"/>
      <c r="D29" s="48"/>
      <c r="E29" s="49"/>
      <c r="F29" s="43"/>
      <c r="G29" s="43"/>
      <c r="H29" s="43"/>
      <c r="I29" s="43"/>
      <c r="J29" s="43"/>
      <c r="K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8"/>
      <c r="AA29" s="8"/>
    </row>
    <row r="30" spans="1:27" ht="12.75">
      <c r="A30" s="8"/>
      <c r="B30" s="50"/>
      <c r="C30" s="51"/>
      <c r="D30" s="51"/>
      <c r="E30" s="52"/>
      <c r="F30" s="44"/>
      <c r="G30" s="44"/>
      <c r="H30" s="44"/>
      <c r="I30" s="44"/>
      <c r="J30" s="44"/>
      <c r="K30" s="3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8"/>
      <c r="AA30" s="8"/>
    </row>
    <row r="31" spans="1:27" ht="15">
      <c r="A31" s="8"/>
      <c r="B31" s="40"/>
      <c r="C31" s="41"/>
      <c r="D31" s="41"/>
      <c r="E31" s="42"/>
      <c r="F31" s="17" t="s">
        <v>17</v>
      </c>
      <c r="G31" s="18">
        <f>COUNTIF(F29:G30,"✔")</f>
        <v>0</v>
      </c>
      <c r="H31" s="17" t="s">
        <v>18</v>
      </c>
      <c r="I31" s="18">
        <f>COUNTIF(H29:I30,"a")</f>
        <v>0</v>
      </c>
      <c r="J31" s="17" t="s">
        <v>17</v>
      </c>
      <c r="K31" s="18">
        <f>COUNTIF(J29:K30,"✔")</f>
        <v>0</v>
      </c>
      <c r="L31" s="17" t="s">
        <v>18</v>
      </c>
      <c r="M31" s="18">
        <f>COUNTIF(L29:M30,"a")</f>
        <v>0</v>
      </c>
      <c r="N31" s="17" t="s">
        <v>17</v>
      </c>
      <c r="O31" s="18">
        <f>COUNTIF(N29:O30,"✔")</f>
        <v>0</v>
      </c>
      <c r="P31" s="17" t="s">
        <v>18</v>
      </c>
      <c r="Q31" s="18">
        <f>COUNTIF(P29:Q30,"a")</f>
        <v>0</v>
      </c>
      <c r="R31" s="17" t="s">
        <v>17</v>
      </c>
      <c r="S31" s="18">
        <f>COUNTIF(R29:S30,"✔")</f>
        <v>0</v>
      </c>
      <c r="T31" s="17" t="s">
        <v>18</v>
      </c>
      <c r="U31" s="18">
        <f>COUNTIF(T29:U30,"a")</f>
        <v>0</v>
      </c>
      <c r="V31" s="17" t="s">
        <v>17</v>
      </c>
      <c r="W31" s="18">
        <f>COUNTIF(V29:W30,"✔")</f>
        <v>0</v>
      </c>
      <c r="X31" s="17" t="s">
        <v>18</v>
      </c>
      <c r="Y31" s="18">
        <f>COUNTIF(X29:Y30,"a")</f>
        <v>0</v>
      </c>
      <c r="Z31" s="8"/>
      <c r="AA31" s="8"/>
    </row>
    <row r="32" spans="1:27" ht="12.75">
      <c r="A32" s="8"/>
      <c r="B32" s="47" t="s">
        <v>26</v>
      </c>
      <c r="C32" s="48"/>
      <c r="D32" s="48"/>
      <c r="E32" s="49"/>
      <c r="F32" s="43"/>
      <c r="G32" s="43"/>
      <c r="H32" s="53"/>
      <c r="I32" s="43"/>
      <c r="J32" s="43"/>
      <c r="K32" s="45"/>
      <c r="L32" s="53"/>
      <c r="M32" s="43"/>
      <c r="N32" s="43"/>
      <c r="O32" s="43"/>
      <c r="P32" s="43"/>
      <c r="Q32" s="43"/>
      <c r="R32" s="43"/>
      <c r="S32" s="43"/>
      <c r="T32" s="53"/>
      <c r="U32" s="43"/>
      <c r="V32" s="43"/>
      <c r="W32" s="43"/>
      <c r="X32" s="53"/>
      <c r="Y32" s="43"/>
      <c r="Z32" s="8"/>
      <c r="AA32" s="8"/>
    </row>
    <row r="33" spans="1:27" ht="12.75">
      <c r="A33" s="8"/>
      <c r="B33" s="50"/>
      <c r="C33" s="51"/>
      <c r="D33" s="51"/>
      <c r="E33" s="52"/>
      <c r="F33" s="44"/>
      <c r="G33" s="44"/>
      <c r="H33" s="36"/>
      <c r="I33" s="44"/>
      <c r="J33" s="44"/>
      <c r="K33" s="36"/>
      <c r="L33" s="36"/>
      <c r="M33" s="44"/>
      <c r="N33" s="44"/>
      <c r="O33" s="44"/>
      <c r="P33" s="44"/>
      <c r="Q33" s="44"/>
      <c r="R33" s="44"/>
      <c r="S33" s="44"/>
      <c r="T33" s="36"/>
      <c r="U33" s="44"/>
      <c r="V33" s="44"/>
      <c r="W33" s="44"/>
      <c r="X33" s="36"/>
      <c r="Y33" s="44"/>
      <c r="Z33" s="8"/>
      <c r="AA33" s="8"/>
    </row>
    <row r="34" spans="1:27" ht="15">
      <c r="A34" s="8"/>
      <c r="B34" s="40"/>
      <c r="C34" s="41"/>
      <c r="D34" s="41"/>
      <c r="E34" s="42"/>
      <c r="F34" s="17" t="s">
        <v>17</v>
      </c>
      <c r="G34" s="18">
        <f>COUNTIF(F32:G33,"✔")</f>
        <v>0</v>
      </c>
      <c r="H34" s="17" t="s">
        <v>18</v>
      </c>
      <c r="I34" s="18">
        <f>COUNTIF(H32:I33,"a")</f>
        <v>0</v>
      </c>
      <c r="J34" s="17" t="s">
        <v>17</v>
      </c>
      <c r="K34" s="18">
        <f>COUNTIF(J32:K33,"✔")</f>
        <v>0</v>
      </c>
      <c r="L34" s="17" t="s">
        <v>18</v>
      </c>
      <c r="M34" s="18">
        <f>COUNTIF(L32:M33,"a")</f>
        <v>0</v>
      </c>
      <c r="N34" s="17" t="s">
        <v>17</v>
      </c>
      <c r="O34" s="18">
        <f>COUNTIF(N32:O33,"✔")</f>
        <v>0</v>
      </c>
      <c r="P34" s="17" t="s">
        <v>18</v>
      </c>
      <c r="Q34" s="18">
        <f>COUNTIF(P32:Q33,"a")</f>
        <v>0</v>
      </c>
      <c r="R34" s="17" t="s">
        <v>17</v>
      </c>
      <c r="S34" s="18">
        <f>COUNTIF(R32:S33,"✔")</f>
        <v>0</v>
      </c>
      <c r="T34" s="17" t="s">
        <v>18</v>
      </c>
      <c r="U34" s="18">
        <f>COUNTIF(T32:U33,"a")</f>
        <v>0</v>
      </c>
      <c r="V34" s="17" t="s">
        <v>17</v>
      </c>
      <c r="W34" s="18">
        <f>COUNTIF(V32:W33,"✔")</f>
        <v>0</v>
      </c>
      <c r="X34" s="17" t="s">
        <v>18</v>
      </c>
      <c r="Y34" s="18">
        <f>COUNTIF(X32:Y33,"a")</f>
        <v>0</v>
      </c>
      <c r="Z34" s="8"/>
      <c r="AA34" s="8"/>
    </row>
    <row r="35" spans="1:27" ht="12.75">
      <c r="A35" s="8"/>
      <c r="B35" s="47" t="s">
        <v>27</v>
      </c>
      <c r="C35" s="48"/>
      <c r="D35" s="48"/>
      <c r="E35" s="49"/>
      <c r="F35" s="43"/>
      <c r="G35" s="43"/>
      <c r="H35" s="43"/>
      <c r="I35" s="43"/>
      <c r="J35" s="43"/>
      <c r="K35" s="45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8"/>
      <c r="AA35" s="8"/>
    </row>
    <row r="36" spans="1:27" ht="12.75">
      <c r="A36" s="8"/>
      <c r="B36" s="50"/>
      <c r="C36" s="51"/>
      <c r="D36" s="51"/>
      <c r="E36" s="52"/>
      <c r="F36" s="44"/>
      <c r="G36" s="44"/>
      <c r="H36" s="44"/>
      <c r="I36" s="44"/>
      <c r="J36" s="44"/>
      <c r="K36" s="3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8"/>
      <c r="AA36" s="8"/>
    </row>
    <row r="37" spans="1:27" ht="15">
      <c r="A37" s="8"/>
      <c r="B37" s="40"/>
      <c r="C37" s="41"/>
      <c r="D37" s="41"/>
      <c r="E37" s="42"/>
      <c r="F37" s="17" t="s">
        <v>17</v>
      </c>
      <c r="G37" s="18">
        <f>COUNTIF(F35:G36,"✔")</f>
        <v>0</v>
      </c>
      <c r="H37" s="17" t="s">
        <v>18</v>
      </c>
      <c r="I37" s="18">
        <f>COUNTIF(H35:I36,"a")</f>
        <v>0</v>
      </c>
      <c r="J37" s="17" t="s">
        <v>17</v>
      </c>
      <c r="K37" s="18">
        <f>COUNTIF(J35:K36,"✔")</f>
        <v>0</v>
      </c>
      <c r="L37" s="17" t="s">
        <v>18</v>
      </c>
      <c r="M37" s="18">
        <f>COUNTIF(L35:M36,"a")</f>
        <v>0</v>
      </c>
      <c r="N37" s="17" t="s">
        <v>17</v>
      </c>
      <c r="O37" s="18">
        <f>COUNTIF(N35:O36,"✔")</f>
        <v>0</v>
      </c>
      <c r="P37" s="17" t="s">
        <v>18</v>
      </c>
      <c r="Q37" s="18">
        <f>COUNTIF(P35:Q36,"a")</f>
        <v>0</v>
      </c>
      <c r="R37" s="17" t="s">
        <v>17</v>
      </c>
      <c r="S37" s="18">
        <f>COUNTIF(R35:S36,"✔")</f>
        <v>0</v>
      </c>
      <c r="T37" s="17" t="s">
        <v>18</v>
      </c>
      <c r="U37" s="18">
        <f>COUNTIF(T35:U36,"a")</f>
        <v>0</v>
      </c>
      <c r="V37" s="17" t="s">
        <v>17</v>
      </c>
      <c r="W37" s="18">
        <f>COUNTIF(V35:W36,"✔")</f>
        <v>0</v>
      </c>
      <c r="X37" s="17" t="s">
        <v>18</v>
      </c>
      <c r="Y37" s="18">
        <f>COUNTIF(X35:Y36,"a")</f>
        <v>0</v>
      </c>
      <c r="Z37" s="8"/>
      <c r="AA37" s="8"/>
    </row>
    <row r="38" spans="1:27" ht="12.75">
      <c r="A38" s="8"/>
      <c r="B38" s="47" t="s">
        <v>28</v>
      </c>
      <c r="C38" s="48"/>
      <c r="D38" s="48"/>
      <c r="E38" s="49"/>
      <c r="F38" s="43"/>
      <c r="G38" s="43"/>
      <c r="H38" s="53"/>
      <c r="I38" s="43"/>
      <c r="J38" s="43"/>
      <c r="K38" s="45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8"/>
      <c r="AA38" s="8"/>
    </row>
    <row r="39" spans="1:27" ht="12.75">
      <c r="A39" s="8"/>
      <c r="B39" s="50"/>
      <c r="C39" s="51"/>
      <c r="D39" s="51"/>
      <c r="E39" s="52"/>
      <c r="F39" s="44"/>
      <c r="G39" s="44"/>
      <c r="H39" s="36"/>
      <c r="I39" s="44"/>
      <c r="J39" s="44"/>
      <c r="K39" s="3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8"/>
      <c r="AA39" s="8"/>
    </row>
    <row r="40" spans="1:27" ht="15">
      <c r="A40" s="8"/>
      <c r="B40" s="40"/>
      <c r="C40" s="41"/>
      <c r="D40" s="41"/>
      <c r="E40" s="42"/>
      <c r="F40" s="17" t="s">
        <v>17</v>
      </c>
      <c r="G40" s="18">
        <f>COUNTIF(F38:G39,"✔")</f>
        <v>0</v>
      </c>
      <c r="H40" s="17" t="s">
        <v>18</v>
      </c>
      <c r="I40" s="18">
        <f>COUNTIF(H38:I39,"a")</f>
        <v>0</v>
      </c>
      <c r="J40" s="17" t="s">
        <v>17</v>
      </c>
      <c r="K40" s="18">
        <f>COUNTIF(J38:K39,"✔")</f>
        <v>0</v>
      </c>
      <c r="L40" s="17" t="s">
        <v>18</v>
      </c>
      <c r="M40" s="18">
        <f>COUNTIF(L38:M39,"a")</f>
        <v>0</v>
      </c>
      <c r="N40" s="17" t="s">
        <v>17</v>
      </c>
      <c r="O40" s="18">
        <f>COUNTIF(N38:O39,"✔")</f>
        <v>0</v>
      </c>
      <c r="P40" s="17" t="s">
        <v>18</v>
      </c>
      <c r="Q40" s="18">
        <f>COUNTIF(P38:Q39,"a")</f>
        <v>0</v>
      </c>
      <c r="R40" s="17" t="s">
        <v>17</v>
      </c>
      <c r="S40" s="18">
        <f>COUNTIF(R38:S39,"✔")</f>
        <v>0</v>
      </c>
      <c r="T40" s="17" t="s">
        <v>18</v>
      </c>
      <c r="U40" s="18">
        <f>COUNTIF(T38:U39,"a")</f>
        <v>0</v>
      </c>
      <c r="V40" s="17" t="s">
        <v>17</v>
      </c>
      <c r="W40" s="18">
        <f>COUNTIF(V38:W39,"✔")</f>
        <v>0</v>
      </c>
      <c r="X40" s="17" t="s">
        <v>18</v>
      </c>
      <c r="Y40" s="18">
        <f>COUNTIF(X38:Y39,"a")</f>
        <v>0</v>
      </c>
      <c r="Z40" s="8"/>
      <c r="AA40" s="8"/>
    </row>
    <row r="41" spans="1:27" ht="22.5">
      <c r="A41" s="8"/>
      <c r="B41" s="47" t="s">
        <v>29</v>
      </c>
      <c r="C41" s="48"/>
      <c r="D41" s="48"/>
      <c r="E41" s="49"/>
      <c r="F41" s="43"/>
      <c r="G41" s="43"/>
      <c r="H41" s="43"/>
      <c r="I41" s="43"/>
      <c r="J41" s="43"/>
      <c r="K41" s="45"/>
      <c r="L41" s="43"/>
      <c r="M41" s="43"/>
      <c r="N41" s="43"/>
      <c r="O41" s="43"/>
      <c r="P41" s="13"/>
      <c r="Q41" s="43"/>
      <c r="R41" s="43"/>
      <c r="S41" s="43"/>
      <c r="T41" s="43"/>
      <c r="U41" s="43"/>
      <c r="V41" s="43"/>
      <c r="W41" s="43"/>
      <c r="X41" s="43"/>
      <c r="Y41" s="43"/>
      <c r="Z41" s="8"/>
      <c r="AA41" s="8"/>
    </row>
    <row r="42" spans="1:27" ht="15">
      <c r="A42" s="8"/>
      <c r="B42" s="50"/>
      <c r="C42" s="51"/>
      <c r="D42" s="51"/>
      <c r="E42" s="52"/>
      <c r="F42" s="44"/>
      <c r="G42" s="44"/>
      <c r="H42" s="44"/>
      <c r="I42" s="44"/>
      <c r="J42" s="44"/>
      <c r="K42" s="36"/>
      <c r="L42" s="44"/>
      <c r="M42" s="44"/>
      <c r="N42" s="44"/>
      <c r="O42" s="44"/>
      <c r="P42" s="19"/>
      <c r="Q42" s="44"/>
      <c r="R42" s="44"/>
      <c r="S42" s="44"/>
      <c r="T42" s="44"/>
      <c r="U42" s="44"/>
      <c r="V42" s="44"/>
      <c r="W42" s="44"/>
      <c r="X42" s="44"/>
      <c r="Y42" s="44"/>
      <c r="Z42" s="8"/>
      <c r="AA42" s="8"/>
    </row>
    <row r="43" spans="1:27" ht="18.75" customHeight="1">
      <c r="A43" s="8"/>
      <c r="B43" s="40"/>
      <c r="C43" s="41"/>
      <c r="D43" s="41"/>
      <c r="E43" s="42"/>
      <c r="F43" s="17" t="s">
        <v>17</v>
      </c>
      <c r="G43" s="18">
        <f>COUNTIF(F41:G42,"✔")</f>
        <v>0</v>
      </c>
      <c r="H43" s="17" t="s">
        <v>18</v>
      </c>
      <c r="I43" s="18">
        <f>COUNTIF(H41:I42,"a")</f>
        <v>0</v>
      </c>
      <c r="J43" s="17" t="s">
        <v>17</v>
      </c>
      <c r="K43" s="18">
        <f>COUNTIF(J41:K42,"✔")</f>
        <v>0</v>
      </c>
      <c r="L43" s="17" t="s">
        <v>18</v>
      </c>
      <c r="M43" s="18">
        <f>COUNTIF(L41:M42,"a")</f>
        <v>0</v>
      </c>
      <c r="N43" s="17" t="s">
        <v>17</v>
      </c>
      <c r="O43" s="18">
        <f>COUNTIF(N41:O42,"✔")</f>
        <v>0</v>
      </c>
      <c r="P43" s="17" t="s">
        <v>18</v>
      </c>
      <c r="Q43" s="18">
        <f>COUNTIF(P41:Q42,"a")</f>
        <v>0</v>
      </c>
      <c r="R43" s="17" t="s">
        <v>17</v>
      </c>
      <c r="S43" s="18">
        <f>COUNTIF(R41:S42,"✔")</f>
        <v>0</v>
      </c>
      <c r="T43" s="17" t="s">
        <v>18</v>
      </c>
      <c r="U43" s="18">
        <f>COUNTIF(T41:U42,"a")</f>
        <v>0</v>
      </c>
      <c r="V43" s="17" t="s">
        <v>17</v>
      </c>
      <c r="W43" s="18">
        <f>COUNTIF(V41:W42,"✔")</f>
        <v>0</v>
      </c>
      <c r="X43" s="17" t="s">
        <v>18</v>
      </c>
      <c r="Y43" s="18">
        <f>COUNTIF(X41:Y42,"a")</f>
        <v>0</v>
      </c>
      <c r="Z43" s="8"/>
      <c r="AA43" s="8"/>
    </row>
    <row r="44" spans="1:27" ht="22.5">
      <c r="A44" s="8"/>
      <c r="B44" s="47" t="s">
        <v>30</v>
      </c>
      <c r="C44" s="48"/>
      <c r="D44" s="48"/>
      <c r="E44" s="49"/>
      <c r="F44" s="43"/>
      <c r="G44" s="43"/>
      <c r="H44" s="15" t="s">
        <v>9</v>
      </c>
      <c r="I44" s="43"/>
      <c r="J44" s="43"/>
      <c r="K44" s="45"/>
      <c r="L44" s="15" t="s">
        <v>9</v>
      </c>
      <c r="M44" s="43"/>
      <c r="N44" s="43"/>
      <c r="O44" s="43"/>
      <c r="P44" s="53"/>
      <c r="Q44" s="43"/>
      <c r="R44" s="43"/>
      <c r="S44" s="43"/>
      <c r="T44" s="53"/>
      <c r="U44" s="43"/>
      <c r="V44" s="43"/>
      <c r="W44" s="43"/>
      <c r="X44" s="53"/>
      <c r="Y44" s="43"/>
      <c r="Z44" s="8"/>
      <c r="AA44" s="8"/>
    </row>
    <row r="45" spans="1:27" ht="22.5">
      <c r="A45" s="8"/>
      <c r="B45" s="50"/>
      <c r="C45" s="51"/>
      <c r="D45" s="51"/>
      <c r="E45" s="52"/>
      <c r="F45" s="44"/>
      <c r="G45" s="44"/>
      <c r="H45" s="13"/>
      <c r="I45" s="44"/>
      <c r="J45" s="44"/>
      <c r="K45" s="36"/>
      <c r="L45" s="13"/>
      <c r="M45" s="44"/>
      <c r="N45" s="44"/>
      <c r="O45" s="44"/>
      <c r="P45" s="36"/>
      <c r="Q45" s="44"/>
      <c r="R45" s="44"/>
      <c r="S45" s="44"/>
      <c r="T45" s="36"/>
      <c r="U45" s="44"/>
      <c r="V45" s="44"/>
      <c r="W45" s="44"/>
      <c r="X45" s="36"/>
      <c r="Y45" s="44"/>
      <c r="Z45" s="8"/>
      <c r="AA45" s="8"/>
    </row>
    <row r="46" spans="1:27" ht="15">
      <c r="A46" s="8"/>
      <c r="B46" s="40"/>
      <c r="C46" s="41"/>
      <c r="D46" s="41"/>
      <c r="E46" s="42"/>
      <c r="F46" s="17" t="s">
        <v>17</v>
      </c>
      <c r="G46" s="18">
        <f>COUNTIF(F44:G45,"✔")</f>
        <v>0</v>
      </c>
      <c r="H46" s="17" t="s">
        <v>18</v>
      </c>
      <c r="I46" s="18">
        <f>COUNTIF(H44:I45,"a")</f>
        <v>1</v>
      </c>
      <c r="J46" s="17" t="s">
        <v>17</v>
      </c>
      <c r="K46" s="18">
        <f>COUNTIF(J44:K45,"✔")</f>
        <v>0</v>
      </c>
      <c r="L46" s="17" t="s">
        <v>18</v>
      </c>
      <c r="M46" s="18">
        <f>COUNTIF(L44:M45,"a")</f>
        <v>1</v>
      </c>
      <c r="N46" s="17" t="s">
        <v>17</v>
      </c>
      <c r="O46" s="18">
        <f>COUNTIF(N44:O45,"✔")</f>
        <v>0</v>
      </c>
      <c r="P46" s="17" t="s">
        <v>18</v>
      </c>
      <c r="Q46" s="18">
        <f>COUNTIF(P44:Q45,"a")</f>
        <v>0</v>
      </c>
      <c r="R46" s="17" t="s">
        <v>17</v>
      </c>
      <c r="S46" s="18">
        <f>COUNTIF(R44:S45,"✔")</f>
        <v>0</v>
      </c>
      <c r="T46" s="17" t="s">
        <v>18</v>
      </c>
      <c r="U46" s="18">
        <f>COUNTIF(T44:U45,"a")</f>
        <v>0</v>
      </c>
      <c r="V46" s="17" t="s">
        <v>17</v>
      </c>
      <c r="W46" s="18">
        <f>COUNTIF(V44:W45,"✔")</f>
        <v>0</v>
      </c>
      <c r="X46" s="17" t="s">
        <v>18</v>
      </c>
      <c r="Y46" s="18">
        <f>COUNTIF(X44:Y45,"a")</f>
        <v>0</v>
      </c>
      <c r="Z46" s="8"/>
      <c r="AA46" s="8"/>
    </row>
    <row r="47" spans="1:27" ht="12.75">
      <c r="A47" s="8"/>
      <c r="B47" s="47" t="s">
        <v>31</v>
      </c>
      <c r="C47" s="48"/>
      <c r="D47" s="48"/>
      <c r="E47" s="49"/>
      <c r="F47" s="43"/>
      <c r="G47" s="43"/>
      <c r="H47" s="43"/>
      <c r="I47" s="43"/>
      <c r="J47" s="43"/>
      <c r="K47" s="45"/>
      <c r="L47" s="53"/>
      <c r="M47" s="43"/>
      <c r="N47" s="43"/>
      <c r="O47" s="43"/>
      <c r="P47" s="53"/>
      <c r="Q47" s="43"/>
      <c r="R47" s="43"/>
      <c r="S47" s="43"/>
      <c r="T47" s="43"/>
      <c r="U47" s="43"/>
      <c r="V47" s="43"/>
      <c r="W47" s="43"/>
      <c r="X47" s="43"/>
      <c r="Y47" s="43"/>
      <c r="Z47" s="8"/>
      <c r="AA47" s="8"/>
    </row>
    <row r="48" spans="1:27" ht="12.75">
      <c r="A48" s="8"/>
      <c r="B48" s="50"/>
      <c r="C48" s="51"/>
      <c r="D48" s="51"/>
      <c r="E48" s="52"/>
      <c r="F48" s="44"/>
      <c r="G48" s="44"/>
      <c r="H48" s="44"/>
      <c r="I48" s="44"/>
      <c r="J48" s="44"/>
      <c r="K48" s="36"/>
      <c r="L48" s="36"/>
      <c r="M48" s="44"/>
      <c r="N48" s="44"/>
      <c r="O48" s="44"/>
      <c r="P48" s="36"/>
      <c r="Q48" s="44"/>
      <c r="R48" s="44"/>
      <c r="S48" s="44"/>
      <c r="T48" s="44"/>
      <c r="U48" s="44"/>
      <c r="V48" s="44"/>
      <c r="W48" s="44"/>
      <c r="X48" s="44"/>
      <c r="Y48" s="44"/>
      <c r="Z48" s="8"/>
      <c r="AA48" s="8"/>
    </row>
    <row r="49" spans="1:27" ht="15">
      <c r="A49" s="8"/>
      <c r="B49" s="62" t="s">
        <v>32</v>
      </c>
      <c r="C49" s="41"/>
      <c r="D49" s="41"/>
      <c r="E49" s="42"/>
      <c r="F49" s="17" t="s">
        <v>17</v>
      </c>
      <c r="G49" s="18">
        <f>COUNTIF(F47:G48,"✔")</f>
        <v>0</v>
      </c>
      <c r="H49" s="17" t="s">
        <v>18</v>
      </c>
      <c r="I49" s="18">
        <f>COUNTIF(H47:I48,"a")</f>
        <v>0</v>
      </c>
      <c r="J49" s="17" t="s">
        <v>17</v>
      </c>
      <c r="K49" s="18">
        <f>COUNTIF(J47:K48,"✔")</f>
        <v>0</v>
      </c>
      <c r="L49" s="17" t="s">
        <v>18</v>
      </c>
      <c r="M49" s="18">
        <f>COUNTIF(L47:M48,"a")</f>
        <v>0</v>
      </c>
      <c r="N49" s="17" t="s">
        <v>17</v>
      </c>
      <c r="O49" s="18">
        <f>COUNTIF(N47:O48,"✔")</f>
        <v>0</v>
      </c>
      <c r="P49" s="17" t="s">
        <v>18</v>
      </c>
      <c r="Q49" s="18">
        <f>COUNTIF(P47:Q48,"a")</f>
        <v>0</v>
      </c>
      <c r="R49" s="17" t="s">
        <v>17</v>
      </c>
      <c r="S49" s="18">
        <f>COUNTIF(R47:S48,"✔")</f>
        <v>0</v>
      </c>
      <c r="T49" s="17" t="s">
        <v>18</v>
      </c>
      <c r="U49" s="18">
        <f>COUNTIF(T47:U48,"a")</f>
        <v>0</v>
      </c>
      <c r="V49" s="17" t="s">
        <v>17</v>
      </c>
      <c r="W49" s="18">
        <f>COUNTIF(V47:W48,"✔")</f>
        <v>0</v>
      </c>
      <c r="X49" s="17" t="s">
        <v>18</v>
      </c>
      <c r="Y49" s="18">
        <f>COUNTIF(X47:Y48,"a")</f>
        <v>0</v>
      </c>
      <c r="Z49" s="8"/>
      <c r="AA49" s="8"/>
    </row>
    <row r="50" spans="1:27" ht="12.75">
      <c r="A50" s="8"/>
      <c r="F50" s="43"/>
      <c r="G50" s="43"/>
      <c r="H50" s="43"/>
      <c r="I50" s="43"/>
      <c r="J50" s="43"/>
      <c r="K50" s="45"/>
      <c r="L50" s="43"/>
      <c r="M50" s="43"/>
      <c r="N50" s="43"/>
      <c r="O50" s="43"/>
      <c r="P50" s="43"/>
      <c r="Q50" s="43"/>
      <c r="R50" s="43"/>
      <c r="S50" s="43"/>
      <c r="T50" s="53"/>
      <c r="U50" s="43"/>
      <c r="V50" s="43"/>
      <c r="W50" s="43"/>
      <c r="X50" s="53"/>
      <c r="Y50" s="43"/>
      <c r="Z50" s="8"/>
      <c r="AA50" s="8"/>
    </row>
    <row r="51" spans="1:27" ht="12.75">
      <c r="A51" s="8"/>
      <c r="F51" s="44"/>
      <c r="G51" s="44"/>
      <c r="H51" s="44"/>
      <c r="I51" s="44"/>
      <c r="J51" s="44"/>
      <c r="K51" s="36"/>
      <c r="L51" s="44"/>
      <c r="M51" s="44"/>
      <c r="N51" s="44"/>
      <c r="O51" s="44"/>
      <c r="P51" s="44"/>
      <c r="Q51" s="44"/>
      <c r="R51" s="44"/>
      <c r="S51" s="44"/>
      <c r="T51" s="36"/>
      <c r="U51" s="44"/>
      <c r="V51" s="44"/>
      <c r="W51" s="44"/>
      <c r="X51" s="36"/>
      <c r="Y51" s="44"/>
      <c r="Z51" s="8"/>
      <c r="AA51" s="8"/>
    </row>
    <row r="52" spans="1:27" ht="12.75">
      <c r="A52" s="8"/>
      <c r="B52" s="47" t="s">
        <v>33</v>
      </c>
      <c r="C52" s="48"/>
      <c r="D52" s="48"/>
      <c r="E52" s="49"/>
      <c r="F52" s="43"/>
      <c r="G52" s="43"/>
      <c r="H52" s="46" t="s">
        <v>9</v>
      </c>
      <c r="I52" s="43"/>
      <c r="J52" s="43"/>
      <c r="K52" s="45"/>
      <c r="L52" s="46" t="s">
        <v>9</v>
      </c>
      <c r="M52" s="43"/>
      <c r="N52" s="43"/>
      <c r="O52" s="43"/>
      <c r="P52" s="53"/>
      <c r="Q52" s="43"/>
      <c r="R52" s="43"/>
      <c r="S52" s="43"/>
      <c r="T52" s="53"/>
      <c r="U52" s="43"/>
      <c r="V52" s="43"/>
      <c r="W52" s="43"/>
      <c r="X52" s="53"/>
      <c r="Y52" s="43"/>
      <c r="Z52" s="8"/>
      <c r="AA52" s="8"/>
    </row>
    <row r="53" spans="1:27" ht="12.75">
      <c r="A53" s="8"/>
      <c r="B53" s="50"/>
      <c r="C53" s="51"/>
      <c r="D53" s="51"/>
      <c r="E53" s="52"/>
      <c r="F53" s="44"/>
      <c r="G53" s="44"/>
      <c r="H53" s="36"/>
      <c r="I53" s="44"/>
      <c r="J53" s="44"/>
      <c r="K53" s="36"/>
      <c r="L53" s="36"/>
      <c r="M53" s="44"/>
      <c r="N53" s="44"/>
      <c r="O53" s="44"/>
      <c r="P53" s="36"/>
      <c r="Q53" s="44"/>
      <c r="R53" s="44"/>
      <c r="S53" s="44"/>
      <c r="T53" s="36"/>
      <c r="U53" s="44"/>
      <c r="V53" s="44"/>
      <c r="W53" s="44"/>
      <c r="X53" s="36"/>
      <c r="Y53" s="44"/>
      <c r="Z53" s="8"/>
      <c r="AA53" s="8"/>
    </row>
    <row r="54" spans="1:27" ht="15">
      <c r="A54" s="8"/>
      <c r="B54" s="40"/>
      <c r="C54" s="41"/>
      <c r="D54" s="41"/>
      <c r="E54" s="42"/>
      <c r="F54" s="17" t="s">
        <v>17</v>
      </c>
      <c r="G54" s="18">
        <f>COUNTIF(F52:G53,"✔")</f>
        <v>0</v>
      </c>
      <c r="H54" s="17" t="s">
        <v>18</v>
      </c>
      <c r="I54" s="18">
        <f>COUNTIF(H52:I53,"a")</f>
        <v>1</v>
      </c>
      <c r="J54" s="17" t="s">
        <v>17</v>
      </c>
      <c r="K54" s="18">
        <f>COUNTIF(J52:K53,"✔")</f>
        <v>0</v>
      </c>
      <c r="L54" s="17" t="s">
        <v>18</v>
      </c>
      <c r="M54" s="18">
        <f>COUNTIF(L52:M53,"a")</f>
        <v>1</v>
      </c>
      <c r="N54" s="17" t="s">
        <v>17</v>
      </c>
      <c r="O54" s="18">
        <f>COUNTIF(N52:O53,"✔")</f>
        <v>0</v>
      </c>
      <c r="P54" s="17" t="s">
        <v>18</v>
      </c>
      <c r="Q54" s="18">
        <f>COUNTIF(P52:Q53,"a")</f>
        <v>0</v>
      </c>
      <c r="R54" s="17" t="s">
        <v>17</v>
      </c>
      <c r="S54" s="18">
        <f>COUNTIF(R52:S53,"✔")</f>
        <v>0</v>
      </c>
      <c r="T54" s="17" t="s">
        <v>18</v>
      </c>
      <c r="U54" s="18">
        <f>COUNTIF(T52:U53,"a")</f>
        <v>0</v>
      </c>
      <c r="V54" s="17" t="s">
        <v>17</v>
      </c>
      <c r="W54" s="18">
        <f>COUNTIF(V52:W53,"✔")</f>
        <v>0</v>
      </c>
      <c r="X54" s="17" t="s">
        <v>18</v>
      </c>
      <c r="Y54" s="18">
        <f>COUNTIF(X52:Y53,"a")</f>
        <v>0</v>
      </c>
      <c r="Z54" s="8"/>
      <c r="AA54" s="8"/>
    </row>
    <row r="55" spans="1:27" ht="12.75">
      <c r="A55" s="8"/>
      <c r="B55" s="47" t="s">
        <v>34</v>
      </c>
      <c r="C55" s="48"/>
      <c r="D55" s="48"/>
      <c r="E55" s="49"/>
      <c r="F55" s="43"/>
      <c r="G55" s="43"/>
      <c r="H55" s="46" t="s">
        <v>9</v>
      </c>
      <c r="I55" s="43"/>
      <c r="J55" s="43"/>
      <c r="K55" s="45"/>
      <c r="L55" s="46" t="s">
        <v>9</v>
      </c>
      <c r="M55" s="43"/>
      <c r="N55" s="43"/>
      <c r="O55" s="43"/>
      <c r="P55" s="53"/>
      <c r="Q55" s="43"/>
      <c r="R55" s="43"/>
      <c r="S55" s="43"/>
      <c r="T55" s="53"/>
      <c r="U55" s="43"/>
      <c r="V55" s="43"/>
      <c r="W55" s="43"/>
      <c r="X55" s="53"/>
      <c r="Y55" s="43"/>
      <c r="Z55" s="8"/>
      <c r="AA55" s="8"/>
    </row>
    <row r="56" spans="1:27" ht="12.75">
      <c r="A56" s="8"/>
      <c r="B56" s="50"/>
      <c r="C56" s="51"/>
      <c r="D56" s="51"/>
      <c r="E56" s="52"/>
      <c r="F56" s="44"/>
      <c r="G56" s="44"/>
      <c r="H56" s="36"/>
      <c r="I56" s="44"/>
      <c r="J56" s="44"/>
      <c r="K56" s="36"/>
      <c r="L56" s="36"/>
      <c r="M56" s="44"/>
      <c r="N56" s="44"/>
      <c r="O56" s="44"/>
      <c r="P56" s="36"/>
      <c r="Q56" s="44"/>
      <c r="R56" s="44"/>
      <c r="S56" s="44"/>
      <c r="T56" s="36"/>
      <c r="U56" s="44"/>
      <c r="V56" s="44"/>
      <c r="W56" s="44"/>
      <c r="X56" s="36"/>
      <c r="Y56" s="44"/>
      <c r="Z56" s="8"/>
      <c r="AA56" s="8"/>
    </row>
    <row r="57" spans="1:27" ht="15">
      <c r="A57" s="8"/>
      <c r="B57" s="40"/>
      <c r="C57" s="41"/>
      <c r="D57" s="41"/>
      <c r="E57" s="42"/>
      <c r="F57" s="17" t="s">
        <v>17</v>
      </c>
      <c r="G57" s="18">
        <f>COUNTIF(F55:G56,"✔")</f>
        <v>0</v>
      </c>
      <c r="H57" s="17" t="s">
        <v>18</v>
      </c>
      <c r="I57" s="18">
        <f>COUNTIF(H55:I56,"a")</f>
        <v>1</v>
      </c>
      <c r="J57" s="17" t="s">
        <v>17</v>
      </c>
      <c r="K57" s="18">
        <f>COUNTIF(J55:K56,"✔")</f>
        <v>0</v>
      </c>
      <c r="L57" s="17" t="s">
        <v>18</v>
      </c>
      <c r="M57" s="18">
        <f>COUNTIF(L55:M56,"a")</f>
        <v>1</v>
      </c>
      <c r="N57" s="17" t="s">
        <v>17</v>
      </c>
      <c r="O57" s="18">
        <f>COUNTIF(N55:O56,"✔")</f>
        <v>0</v>
      </c>
      <c r="P57" s="17" t="s">
        <v>18</v>
      </c>
      <c r="Q57" s="18">
        <f>COUNTIF(P55:Q56,"a")</f>
        <v>0</v>
      </c>
      <c r="R57" s="17" t="s">
        <v>17</v>
      </c>
      <c r="S57" s="18">
        <f>COUNTIF(R55:S56,"✔")</f>
        <v>0</v>
      </c>
      <c r="T57" s="17" t="s">
        <v>18</v>
      </c>
      <c r="U57" s="18">
        <f>COUNTIF(T55:U56,"a")</f>
        <v>0</v>
      </c>
      <c r="V57" s="17" t="s">
        <v>17</v>
      </c>
      <c r="W57" s="18">
        <f>COUNTIF(V55:W56,"✔")</f>
        <v>0</v>
      </c>
      <c r="X57" s="17" t="s">
        <v>18</v>
      </c>
      <c r="Y57" s="18">
        <f>COUNTIF(X55:Y56,"a")</f>
        <v>0</v>
      </c>
      <c r="Z57" s="8"/>
      <c r="AA57" s="8"/>
    </row>
    <row r="58" spans="1:27" ht="12.75">
      <c r="A58" s="8"/>
      <c r="B58" s="47" t="s">
        <v>35</v>
      </c>
      <c r="C58" s="48"/>
      <c r="D58" s="48"/>
      <c r="E58" s="49"/>
      <c r="F58" s="43"/>
      <c r="G58" s="43"/>
      <c r="H58" s="46" t="s">
        <v>9</v>
      </c>
      <c r="I58" s="43"/>
      <c r="J58" s="43"/>
      <c r="K58" s="45"/>
      <c r="L58" s="53"/>
      <c r="M58" s="43"/>
      <c r="N58" s="43"/>
      <c r="O58" s="43"/>
      <c r="P58" s="53"/>
      <c r="Q58" s="43"/>
      <c r="R58" s="43"/>
      <c r="S58" s="43"/>
      <c r="T58" s="53"/>
      <c r="U58" s="43"/>
      <c r="V58" s="43"/>
      <c r="W58" s="43"/>
      <c r="X58" s="53"/>
      <c r="Y58" s="43"/>
      <c r="Z58" s="8"/>
      <c r="AA58" s="8"/>
    </row>
    <row r="59" spans="1:27" ht="12.75">
      <c r="A59" s="8"/>
      <c r="B59" s="50"/>
      <c r="C59" s="51"/>
      <c r="D59" s="51"/>
      <c r="E59" s="52"/>
      <c r="F59" s="44"/>
      <c r="G59" s="44"/>
      <c r="H59" s="36"/>
      <c r="I59" s="44"/>
      <c r="J59" s="44"/>
      <c r="K59" s="36"/>
      <c r="L59" s="36"/>
      <c r="M59" s="44"/>
      <c r="N59" s="44"/>
      <c r="O59" s="44"/>
      <c r="P59" s="36"/>
      <c r="Q59" s="44"/>
      <c r="R59" s="44"/>
      <c r="S59" s="44"/>
      <c r="T59" s="36"/>
      <c r="U59" s="44"/>
      <c r="V59" s="44"/>
      <c r="W59" s="44"/>
      <c r="X59" s="36"/>
      <c r="Y59" s="44"/>
      <c r="Z59" s="8"/>
      <c r="AA59" s="8"/>
    </row>
    <row r="60" spans="1:27" ht="15">
      <c r="A60" s="8"/>
      <c r="B60" s="40"/>
      <c r="C60" s="41"/>
      <c r="D60" s="41"/>
      <c r="E60" s="42"/>
      <c r="F60" s="17" t="s">
        <v>17</v>
      </c>
      <c r="G60" s="18">
        <f>COUNTIF(F58:G59,"✔")</f>
        <v>0</v>
      </c>
      <c r="H60" s="17" t="s">
        <v>18</v>
      </c>
      <c r="I60" s="18">
        <f>COUNTIF(H58:I59,"a")</f>
        <v>1</v>
      </c>
      <c r="J60" s="17" t="s">
        <v>17</v>
      </c>
      <c r="K60" s="18">
        <f>COUNTIF(J58:K59,"✔")</f>
        <v>0</v>
      </c>
      <c r="L60" s="17" t="s">
        <v>18</v>
      </c>
      <c r="M60" s="18">
        <f>COUNTIF(L58:M59,"a")</f>
        <v>0</v>
      </c>
      <c r="N60" s="17" t="s">
        <v>17</v>
      </c>
      <c r="O60" s="18">
        <f>COUNTIF(N58:O59,"✔")</f>
        <v>0</v>
      </c>
      <c r="P60" s="17" t="s">
        <v>18</v>
      </c>
      <c r="Q60" s="18">
        <f>COUNTIF(P58:Q59,"a")</f>
        <v>0</v>
      </c>
      <c r="R60" s="17" t="s">
        <v>17</v>
      </c>
      <c r="S60" s="18">
        <f>COUNTIF(R58:S59,"✔")</f>
        <v>0</v>
      </c>
      <c r="T60" s="17" t="s">
        <v>18</v>
      </c>
      <c r="U60" s="18">
        <f>COUNTIF(T58:U59,"a")</f>
        <v>0</v>
      </c>
      <c r="V60" s="17" t="s">
        <v>17</v>
      </c>
      <c r="W60" s="18">
        <f>COUNTIF(V58:W59,"✔")</f>
        <v>0</v>
      </c>
      <c r="X60" s="17" t="s">
        <v>18</v>
      </c>
      <c r="Y60" s="18">
        <f>COUNTIF(X58:Y59,"a")</f>
        <v>0</v>
      </c>
      <c r="Z60" s="8"/>
      <c r="AA60" s="8"/>
    </row>
    <row r="61" spans="1:27" ht="12.75">
      <c r="A61" s="8"/>
      <c r="B61" s="47" t="s">
        <v>36</v>
      </c>
      <c r="C61" s="48"/>
      <c r="D61" s="48"/>
      <c r="E61" s="49"/>
      <c r="F61" s="43"/>
      <c r="G61" s="43"/>
      <c r="H61" s="43"/>
      <c r="I61" s="43"/>
      <c r="J61" s="43"/>
      <c r="K61" s="45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8"/>
      <c r="AA61" s="8"/>
    </row>
    <row r="62" spans="1:27" ht="12.75">
      <c r="A62" s="8"/>
      <c r="B62" s="50"/>
      <c r="C62" s="51"/>
      <c r="D62" s="51"/>
      <c r="E62" s="52"/>
      <c r="F62" s="44"/>
      <c r="G62" s="44"/>
      <c r="H62" s="44"/>
      <c r="I62" s="44"/>
      <c r="J62" s="44"/>
      <c r="K62" s="36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8"/>
      <c r="AA62" s="8"/>
    </row>
    <row r="63" spans="1:27" ht="15">
      <c r="A63" s="8"/>
      <c r="B63" s="40"/>
      <c r="C63" s="41"/>
      <c r="D63" s="41"/>
      <c r="E63" s="42"/>
      <c r="F63" s="17" t="s">
        <v>17</v>
      </c>
      <c r="G63" s="18">
        <f>COUNTIF(F61:G62,"✔")</f>
        <v>0</v>
      </c>
      <c r="H63" s="17" t="s">
        <v>18</v>
      </c>
      <c r="I63" s="18">
        <f>COUNTIF(H61:I62,"a")</f>
        <v>0</v>
      </c>
      <c r="J63" s="17" t="s">
        <v>17</v>
      </c>
      <c r="K63" s="18">
        <f>COUNTIF(J61:K62,"✔")</f>
        <v>0</v>
      </c>
      <c r="L63" s="17" t="s">
        <v>18</v>
      </c>
      <c r="M63" s="18">
        <f>COUNTIF(L61:M62,"a")</f>
        <v>0</v>
      </c>
      <c r="N63" s="17" t="s">
        <v>17</v>
      </c>
      <c r="O63" s="18">
        <f>COUNTIF(N61:O62,"✔")</f>
        <v>0</v>
      </c>
      <c r="P63" s="17" t="s">
        <v>18</v>
      </c>
      <c r="Q63" s="18">
        <f>COUNTIF(P61:Q62,"a")</f>
        <v>0</v>
      </c>
      <c r="R63" s="17" t="s">
        <v>17</v>
      </c>
      <c r="S63" s="18">
        <f>COUNTIF(R61:S62,"✔")</f>
        <v>0</v>
      </c>
      <c r="T63" s="17" t="s">
        <v>18</v>
      </c>
      <c r="U63" s="18">
        <f>COUNTIF(T61:U62,"a")</f>
        <v>0</v>
      </c>
      <c r="V63" s="17" t="s">
        <v>17</v>
      </c>
      <c r="W63" s="18">
        <f>COUNTIF(V61:W62,"✔")</f>
        <v>0</v>
      </c>
      <c r="X63" s="17" t="s">
        <v>18</v>
      </c>
      <c r="Y63" s="18">
        <f>COUNTIF(X61:Y62,"a")</f>
        <v>0</v>
      </c>
      <c r="Z63" s="8"/>
      <c r="AA63" s="8"/>
    </row>
    <row r="64" spans="1:27" ht="12.75">
      <c r="A64" s="8"/>
      <c r="B64" s="54" t="s">
        <v>37</v>
      </c>
      <c r="C64" s="48"/>
      <c r="D64" s="48"/>
      <c r="E64" s="49"/>
      <c r="F64" s="43"/>
      <c r="G64" s="43"/>
      <c r="H64" s="53"/>
      <c r="I64" s="43"/>
      <c r="J64" s="43"/>
      <c r="K64" s="45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8"/>
      <c r="AA64" s="8"/>
    </row>
    <row r="65" spans="1:27" ht="12.75">
      <c r="A65" s="8"/>
      <c r="B65" s="50"/>
      <c r="C65" s="51"/>
      <c r="D65" s="51"/>
      <c r="E65" s="52"/>
      <c r="F65" s="44"/>
      <c r="G65" s="44"/>
      <c r="H65" s="36"/>
      <c r="I65" s="44"/>
      <c r="J65" s="44"/>
      <c r="K65" s="36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8"/>
      <c r="AA65" s="8"/>
    </row>
    <row r="66" spans="1:27" ht="15">
      <c r="A66" s="8"/>
      <c r="B66" s="40"/>
      <c r="C66" s="41"/>
      <c r="D66" s="41"/>
      <c r="E66" s="42"/>
      <c r="F66" s="17" t="s">
        <v>17</v>
      </c>
      <c r="G66" s="18">
        <f>COUNTIF(F64:G65,"✔")</f>
        <v>0</v>
      </c>
      <c r="H66" s="17" t="s">
        <v>18</v>
      </c>
      <c r="I66" s="18">
        <f>COUNTIF(H64:I65,"a")</f>
        <v>0</v>
      </c>
      <c r="J66" s="17" t="s">
        <v>17</v>
      </c>
      <c r="K66" s="18">
        <f>COUNTIF(J64:K65,"✔")</f>
        <v>0</v>
      </c>
      <c r="L66" s="17" t="s">
        <v>18</v>
      </c>
      <c r="M66" s="18">
        <f>COUNTIF(L64:M65,"a")</f>
        <v>0</v>
      </c>
      <c r="N66" s="17" t="s">
        <v>17</v>
      </c>
      <c r="O66" s="18">
        <f>COUNTIF(N64:O65,"✔")</f>
        <v>0</v>
      </c>
      <c r="P66" s="17" t="s">
        <v>18</v>
      </c>
      <c r="Q66" s="18">
        <f>COUNTIF(P64:Q65,"a")</f>
        <v>0</v>
      </c>
      <c r="R66" s="17" t="s">
        <v>17</v>
      </c>
      <c r="S66" s="18">
        <f>COUNTIF(R64:S65,"✔")</f>
        <v>0</v>
      </c>
      <c r="T66" s="17" t="s">
        <v>18</v>
      </c>
      <c r="U66" s="18">
        <f>COUNTIF(T64:U65,"a")</f>
        <v>0</v>
      </c>
      <c r="V66" s="17" t="s">
        <v>17</v>
      </c>
      <c r="W66" s="18">
        <f>COUNTIF(V64:W65,"✔")</f>
        <v>0</v>
      </c>
      <c r="X66" s="17" t="s">
        <v>18</v>
      </c>
      <c r="Y66" s="18">
        <f>COUNTIF(X64:Y65,"a")</f>
        <v>0</v>
      </c>
      <c r="Z66" s="8"/>
      <c r="AA66" s="8"/>
    </row>
    <row r="67" spans="1:27" ht="12.75">
      <c r="A67" s="8"/>
      <c r="B67" s="47" t="s">
        <v>38</v>
      </c>
      <c r="C67" s="48"/>
      <c r="D67" s="48"/>
      <c r="E67" s="49"/>
      <c r="F67" s="43"/>
      <c r="G67" s="43"/>
      <c r="H67" s="43"/>
      <c r="I67" s="43"/>
      <c r="J67" s="43"/>
      <c r="K67" s="45"/>
      <c r="L67" s="43"/>
      <c r="M67" s="43"/>
      <c r="N67" s="43"/>
      <c r="O67" s="43"/>
      <c r="P67" s="53"/>
      <c r="Q67" s="43"/>
      <c r="R67" s="43"/>
      <c r="S67" s="43"/>
      <c r="T67" s="43"/>
      <c r="U67" s="43"/>
      <c r="V67" s="43"/>
      <c r="W67" s="43"/>
      <c r="X67" s="43"/>
      <c r="Y67" s="43"/>
      <c r="Z67" s="8"/>
      <c r="AA67" s="8"/>
    </row>
    <row r="68" spans="1:27" ht="12.75">
      <c r="A68" s="8"/>
      <c r="B68" s="50"/>
      <c r="C68" s="51"/>
      <c r="D68" s="51"/>
      <c r="E68" s="52"/>
      <c r="F68" s="44"/>
      <c r="G68" s="44"/>
      <c r="H68" s="44"/>
      <c r="I68" s="44"/>
      <c r="J68" s="44"/>
      <c r="K68" s="36"/>
      <c r="L68" s="44"/>
      <c r="M68" s="44"/>
      <c r="N68" s="44"/>
      <c r="O68" s="44"/>
      <c r="P68" s="36"/>
      <c r="Q68" s="44"/>
      <c r="R68" s="44"/>
      <c r="S68" s="44"/>
      <c r="T68" s="44"/>
      <c r="U68" s="44"/>
      <c r="V68" s="44"/>
      <c r="W68" s="44"/>
      <c r="X68" s="44"/>
      <c r="Y68" s="44"/>
      <c r="Z68" s="8"/>
      <c r="AA68" s="8"/>
    </row>
    <row r="69" spans="1:27" ht="15">
      <c r="A69" s="8"/>
      <c r="B69" s="40"/>
      <c r="C69" s="41"/>
      <c r="D69" s="41"/>
      <c r="E69" s="42"/>
      <c r="F69" s="17" t="s">
        <v>17</v>
      </c>
      <c r="G69" s="18">
        <f>COUNTIF(F67:G68,"✔")</f>
        <v>0</v>
      </c>
      <c r="H69" s="17" t="s">
        <v>18</v>
      </c>
      <c r="I69" s="18">
        <f>COUNTIF(H67:I68,"a")</f>
        <v>0</v>
      </c>
      <c r="J69" s="17" t="s">
        <v>17</v>
      </c>
      <c r="K69" s="18">
        <f>COUNTIF(J67:K68,"✔")</f>
        <v>0</v>
      </c>
      <c r="L69" s="17" t="s">
        <v>18</v>
      </c>
      <c r="M69" s="18">
        <f>COUNTIF(L67:M68,"a")</f>
        <v>0</v>
      </c>
      <c r="N69" s="17" t="s">
        <v>17</v>
      </c>
      <c r="O69" s="18">
        <f>COUNTIF(N67:O68,"✔")</f>
        <v>0</v>
      </c>
      <c r="P69" s="17" t="s">
        <v>18</v>
      </c>
      <c r="Q69" s="18">
        <f>COUNTIF(P67:Q68,"a")</f>
        <v>0</v>
      </c>
      <c r="R69" s="17" t="s">
        <v>17</v>
      </c>
      <c r="S69" s="18">
        <f>COUNTIF(R67:S68,"✔")</f>
        <v>0</v>
      </c>
      <c r="T69" s="17" t="s">
        <v>18</v>
      </c>
      <c r="U69" s="18">
        <f>COUNTIF(T67:U68,"a")</f>
        <v>0</v>
      </c>
      <c r="V69" s="17" t="s">
        <v>17</v>
      </c>
      <c r="W69" s="18">
        <f>COUNTIF(V67:W68,"✔")</f>
        <v>0</v>
      </c>
      <c r="X69" s="17" t="s">
        <v>18</v>
      </c>
      <c r="Y69" s="18">
        <f>COUNTIF(X67:Y68,"a")</f>
        <v>0</v>
      </c>
      <c r="Z69" s="8"/>
      <c r="AA69" s="8"/>
    </row>
    <row r="70" spans="1:27" ht="12.75">
      <c r="A70" s="8"/>
      <c r="B70" s="47" t="s">
        <v>39</v>
      </c>
      <c r="C70" s="48"/>
      <c r="D70" s="48"/>
      <c r="E70" s="49"/>
      <c r="F70" s="43"/>
      <c r="G70" s="43"/>
      <c r="H70" s="43"/>
      <c r="I70" s="43"/>
      <c r="J70" s="43"/>
      <c r="K70" s="45"/>
      <c r="L70" s="43"/>
      <c r="M70" s="43"/>
      <c r="N70" s="43"/>
      <c r="O70" s="43"/>
      <c r="P70" s="53"/>
      <c r="Q70" s="43"/>
      <c r="R70" s="43"/>
      <c r="S70" s="43"/>
      <c r="T70" s="53"/>
      <c r="U70" s="43"/>
      <c r="V70" s="43"/>
      <c r="W70" s="43"/>
      <c r="X70" s="43"/>
      <c r="Y70" s="43"/>
      <c r="Z70" s="8"/>
      <c r="AA70" s="8"/>
    </row>
    <row r="71" spans="1:27" ht="12.75">
      <c r="A71" s="8"/>
      <c r="B71" s="50"/>
      <c r="C71" s="51"/>
      <c r="D71" s="51"/>
      <c r="E71" s="52"/>
      <c r="F71" s="44"/>
      <c r="G71" s="44"/>
      <c r="H71" s="44"/>
      <c r="I71" s="44"/>
      <c r="J71" s="44"/>
      <c r="K71" s="36"/>
      <c r="L71" s="44"/>
      <c r="M71" s="44"/>
      <c r="N71" s="44"/>
      <c r="O71" s="44"/>
      <c r="P71" s="36"/>
      <c r="Q71" s="44"/>
      <c r="R71" s="44"/>
      <c r="S71" s="44"/>
      <c r="T71" s="36"/>
      <c r="U71" s="44"/>
      <c r="V71" s="44"/>
      <c r="W71" s="44"/>
      <c r="X71" s="44"/>
      <c r="Y71" s="44"/>
      <c r="Z71" s="8"/>
      <c r="AA71" s="8"/>
    </row>
    <row r="72" spans="1:27" ht="15">
      <c r="A72" s="8"/>
      <c r="B72" s="40"/>
      <c r="C72" s="41"/>
      <c r="D72" s="41"/>
      <c r="E72" s="42"/>
      <c r="F72" s="17" t="s">
        <v>17</v>
      </c>
      <c r="G72" s="18">
        <f>COUNTIF(F70:G71,"✔")</f>
        <v>0</v>
      </c>
      <c r="H72" s="17" t="s">
        <v>18</v>
      </c>
      <c r="I72" s="18">
        <f>COUNTIF(H70:I71,"a")</f>
        <v>0</v>
      </c>
      <c r="J72" s="17" t="s">
        <v>17</v>
      </c>
      <c r="K72" s="18">
        <f>COUNTIF(J70:K71,"✔")</f>
        <v>0</v>
      </c>
      <c r="L72" s="17" t="s">
        <v>18</v>
      </c>
      <c r="M72" s="18">
        <f>COUNTIF(L70:M71,"a")</f>
        <v>0</v>
      </c>
      <c r="N72" s="17" t="s">
        <v>17</v>
      </c>
      <c r="O72" s="18">
        <f>COUNTIF(N70:O71,"✔")</f>
        <v>0</v>
      </c>
      <c r="P72" s="17" t="s">
        <v>18</v>
      </c>
      <c r="Q72" s="18">
        <f>COUNTIF(P70:Q71,"a")</f>
        <v>0</v>
      </c>
      <c r="R72" s="17" t="s">
        <v>17</v>
      </c>
      <c r="S72" s="18">
        <f>COUNTIF(R70:S71,"✔")</f>
        <v>0</v>
      </c>
      <c r="T72" s="17" t="s">
        <v>18</v>
      </c>
      <c r="U72" s="18">
        <f>COUNTIF(T70:U71,"a")</f>
        <v>0</v>
      </c>
      <c r="V72" s="17" t="s">
        <v>17</v>
      </c>
      <c r="W72" s="18">
        <f>COUNTIF(V70:W71,"✔")</f>
        <v>0</v>
      </c>
      <c r="X72" s="17" t="s">
        <v>18</v>
      </c>
      <c r="Y72" s="18">
        <f>COUNTIF(X70:Y71,"a")</f>
        <v>0</v>
      </c>
      <c r="Z72" s="8"/>
      <c r="AA72" s="8"/>
    </row>
    <row r="73" spans="1:27" ht="15">
      <c r="A73" s="8"/>
      <c r="B73" s="40"/>
      <c r="C73" s="41"/>
      <c r="D73" s="41"/>
      <c r="E73" s="42"/>
      <c r="F73" s="17" t="s">
        <v>17</v>
      </c>
      <c r="G73" s="18">
        <f>COUNTIF(F50:G51,"✔")</f>
        <v>0</v>
      </c>
      <c r="H73" s="17" t="s">
        <v>18</v>
      </c>
      <c r="I73" s="18">
        <f>COUNTIF(H50:I51,"a")</f>
        <v>0</v>
      </c>
      <c r="J73" s="17" t="s">
        <v>17</v>
      </c>
      <c r="K73" s="18">
        <f>COUNTIF(J50:K51,"✔")</f>
        <v>0</v>
      </c>
      <c r="L73" s="17" t="s">
        <v>18</v>
      </c>
      <c r="M73" s="18">
        <f>COUNTIF(L50:M51,"a")</f>
        <v>0</v>
      </c>
      <c r="N73" s="17" t="s">
        <v>17</v>
      </c>
      <c r="O73" s="18">
        <f>COUNTIF(N50:O51,"✔")</f>
        <v>0</v>
      </c>
      <c r="P73" s="17" t="s">
        <v>18</v>
      </c>
      <c r="Q73" s="18">
        <f>COUNTIF(P50:Q51,"a")</f>
        <v>0</v>
      </c>
      <c r="R73" s="17" t="s">
        <v>17</v>
      </c>
      <c r="S73" s="18">
        <f>COUNTIF(R50:S51,"✔")</f>
        <v>0</v>
      </c>
      <c r="T73" s="17" t="s">
        <v>18</v>
      </c>
      <c r="U73" s="18">
        <f>COUNTIF(T50:U51,"a")</f>
        <v>0</v>
      </c>
      <c r="V73" s="17" t="s">
        <v>17</v>
      </c>
      <c r="W73" s="18">
        <f>COUNTIF(V50:W51,"✔")</f>
        <v>0</v>
      </c>
      <c r="X73" s="17" t="s">
        <v>18</v>
      </c>
      <c r="Y73" s="18">
        <f>COUNTIF(X50:Y51,"a")</f>
        <v>0</v>
      </c>
      <c r="Z73" s="8"/>
      <c r="AA73" s="8"/>
    </row>
    <row r="74" spans="1:27" ht="12.75">
      <c r="A74" s="8"/>
      <c r="B74" s="54" t="s">
        <v>40</v>
      </c>
      <c r="C74" s="48"/>
      <c r="D74" s="48"/>
      <c r="E74" s="49"/>
      <c r="F74" s="43"/>
      <c r="G74" s="43"/>
      <c r="H74" s="43"/>
      <c r="I74" s="43"/>
      <c r="J74" s="43"/>
      <c r="K74" s="45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8"/>
      <c r="AA74" s="8"/>
    </row>
    <row r="75" spans="1:27" ht="12.75">
      <c r="A75" s="8"/>
      <c r="B75" s="50"/>
      <c r="C75" s="51"/>
      <c r="D75" s="51"/>
      <c r="E75" s="52"/>
      <c r="F75" s="44"/>
      <c r="G75" s="44"/>
      <c r="H75" s="44"/>
      <c r="I75" s="44"/>
      <c r="J75" s="44"/>
      <c r="K75" s="36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8"/>
      <c r="AA75" s="8"/>
    </row>
    <row r="76" spans="1:27" ht="15">
      <c r="A76" s="8"/>
      <c r="B76" s="40"/>
      <c r="C76" s="41"/>
      <c r="D76" s="41"/>
      <c r="E76" s="42"/>
      <c r="F76" s="17" t="s">
        <v>17</v>
      </c>
      <c r="G76" s="18">
        <f>COUNTIF(F74:G75,"✔")</f>
        <v>0</v>
      </c>
      <c r="H76" s="17" t="s">
        <v>18</v>
      </c>
      <c r="I76" s="18">
        <f>COUNTIF(H74:I75,"a")</f>
        <v>0</v>
      </c>
      <c r="J76" s="17" t="s">
        <v>17</v>
      </c>
      <c r="K76" s="18">
        <f>COUNTIF(J74:K75,"✔")</f>
        <v>0</v>
      </c>
      <c r="L76" s="17" t="s">
        <v>18</v>
      </c>
      <c r="M76" s="18">
        <f>COUNTIF(L74:M75,"a")</f>
        <v>0</v>
      </c>
      <c r="N76" s="17" t="s">
        <v>17</v>
      </c>
      <c r="O76" s="18">
        <f>COUNTIF(N74:O75,"✔")</f>
        <v>0</v>
      </c>
      <c r="P76" s="17" t="s">
        <v>18</v>
      </c>
      <c r="Q76" s="18">
        <f>COUNTIF(P74:Q75,"a")</f>
        <v>0</v>
      </c>
      <c r="R76" s="17" t="s">
        <v>17</v>
      </c>
      <c r="S76" s="18">
        <f>COUNTIF(R74:S75,"✔")</f>
        <v>0</v>
      </c>
      <c r="T76" s="17" t="s">
        <v>18</v>
      </c>
      <c r="U76" s="18">
        <f>COUNTIF(T74:U75,"a")</f>
        <v>0</v>
      </c>
      <c r="V76" s="17" t="s">
        <v>17</v>
      </c>
      <c r="W76" s="18">
        <f>COUNTIF(V74:W75,"✔")</f>
        <v>0</v>
      </c>
      <c r="X76" s="17" t="s">
        <v>18</v>
      </c>
      <c r="Y76" s="18">
        <f>COUNTIF(X74:Y75,"a")</f>
        <v>0</v>
      </c>
      <c r="Z76" s="8"/>
      <c r="AA76" s="8"/>
    </row>
    <row r="77" spans="1:27" ht="12.75">
      <c r="A77" s="8"/>
      <c r="B77" s="47" t="s">
        <v>41</v>
      </c>
      <c r="C77" s="48"/>
      <c r="D77" s="48"/>
      <c r="E77" s="49"/>
      <c r="F77" s="43"/>
      <c r="G77" s="43"/>
      <c r="H77" s="53"/>
      <c r="I77" s="43"/>
      <c r="J77" s="43"/>
      <c r="K77" s="45"/>
      <c r="L77" s="53"/>
      <c r="M77" s="43"/>
      <c r="N77" s="43"/>
      <c r="O77" s="43"/>
      <c r="P77" s="53"/>
      <c r="Q77" s="43"/>
      <c r="R77" s="43"/>
      <c r="S77" s="43"/>
      <c r="T77" s="53"/>
      <c r="U77" s="43"/>
      <c r="V77" s="43"/>
      <c r="W77" s="43"/>
      <c r="X77" s="53"/>
      <c r="Y77" s="43"/>
      <c r="Z77" s="8"/>
      <c r="AA77" s="8"/>
    </row>
    <row r="78" spans="1:27" ht="12.75">
      <c r="A78" s="8"/>
      <c r="B78" s="50"/>
      <c r="C78" s="51"/>
      <c r="D78" s="51"/>
      <c r="E78" s="52"/>
      <c r="F78" s="44"/>
      <c r="G78" s="44"/>
      <c r="H78" s="36"/>
      <c r="I78" s="44"/>
      <c r="J78" s="44"/>
      <c r="K78" s="36"/>
      <c r="L78" s="36"/>
      <c r="M78" s="44"/>
      <c r="N78" s="44"/>
      <c r="O78" s="44"/>
      <c r="P78" s="36"/>
      <c r="Q78" s="44"/>
      <c r="R78" s="44"/>
      <c r="S78" s="44"/>
      <c r="T78" s="36"/>
      <c r="U78" s="44"/>
      <c r="V78" s="44"/>
      <c r="W78" s="44"/>
      <c r="X78" s="36"/>
      <c r="Y78" s="44"/>
      <c r="Z78" s="8"/>
      <c r="AA78" s="8"/>
    </row>
    <row r="79" spans="1:27" ht="15">
      <c r="A79" s="8"/>
      <c r="B79" s="40"/>
      <c r="C79" s="41"/>
      <c r="D79" s="41"/>
      <c r="E79" s="42"/>
      <c r="F79" s="17" t="s">
        <v>17</v>
      </c>
      <c r="G79" s="18">
        <f>COUNTIF(F77:G78,"✔")</f>
        <v>0</v>
      </c>
      <c r="H79" s="17" t="s">
        <v>18</v>
      </c>
      <c r="I79" s="18">
        <f>COUNTIF(H77:I78,"a")</f>
        <v>0</v>
      </c>
      <c r="J79" s="17" t="s">
        <v>17</v>
      </c>
      <c r="K79" s="18">
        <f>COUNTIF(J77:K78,"✔")</f>
        <v>0</v>
      </c>
      <c r="L79" s="17" t="s">
        <v>18</v>
      </c>
      <c r="M79" s="18">
        <f>COUNTIF(L77:M78,"a")</f>
        <v>0</v>
      </c>
      <c r="N79" s="17" t="s">
        <v>17</v>
      </c>
      <c r="O79" s="18">
        <f>COUNTIF(N77:O78,"✔")</f>
        <v>0</v>
      </c>
      <c r="P79" s="17" t="s">
        <v>18</v>
      </c>
      <c r="Q79" s="18">
        <f>COUNTIF(P77:Q78,"a")</f>
        <v>0</v>
      </c>
      <c r="R79" s="17" t="s">
        <v>17</v>
      </c>
      <c r="S79" s="18">
        <f>COUNTIF(R77:S78,"✔")</f>
        <v>0</v>
      </c>
      <c r="T79" s="17" t="s">
        <v>18</v>
      </c>
      <c r="U79" s="18">
        <f>COUNTIF(T77:U78,"a")</f>
        <v>0</v>
      </c>
      <c r="V79" s="17" t="s">
        <v>17</v>
      </c>
      <c r="W79" s="18">
        <f>COUNTIF(V77:W78,"✔")</f>
        <v>0</v>
      </c>
      <c r="X79" s="17" t="s">
        <v>18</v>
      </c>
      <c r="Y79" s="18">
        <f>COUNTIF(X77:Y78,"a")</f>
        <v>0</v>
      </c>
      <c r="Z79" s="8"/>
      <c r="AA79" s="8"/>
    </row>
    <row r="80" spans="1:27" ht="12.75">
      <c r="A80" s="8"/>
      <c r="B80" s="47" t="s">
        <v>42</v>
      </c>
      <c r="C80" s="48"/>
      <c r="D80" s="48"/>
      <c r="E80" s="49"/>
      <c r="F80" s="43"/>
      <c r="G80" s="43"/>
      <c r="H80" s="53"/>
      <c r="I80" s="43"/>
      <c r="J80" s="43"/>
      <c r="K80" s="45"/>
      <c r="L80" s="43"/>
      <c r="M80" s="43"/>
      <c r="N80" s="43"/>
      <c r="O80" s="43"/>
      <c r="P80" s="53"/>
      <c r="Q80" s="43"/>
      <c r="R80" s="43"/>
      <c r="S80" s="43"/>
      <c r="T80" s="53"/>
      <c r="U80" s="43"/>
      <c r="V80" s="43"/>
      <c r="W80" s="43"/>
      <c r="X80" s="43"/>
      <c r="Y80" s="43"/>
      <c r="Z80" s="8"/>
      <c r="AA80" s="8"/>
    </row>
    <row r="81" spans="1:27" ht="12.75">
      <c r="A81" s="8"/>
      <c r="B81" s="50"/>
      <c r="C81" s="51"/>
      <c r="D81" s="51"/>
      <c r="E81" s="52"/>
      <c r="F81" s="44"/>
      <c r="G81" s="44"/>
      <c r="H81" s="36"/>
      <c r="I81" s="44"/>
      <c r="J81" s="44"/>
      <c r="K81" s="36"/>
      <c r="L81" s="44"/>
      <c r="M81" s="44"/>
      <c r="N81" s="44"/>
      <c r="O81" s="44"/>
      <c r="P81" s="36"/>
      <c r="Q81" s="44"/>
      <c r="R81" s="44"/>
      <c r="S81" s="44"/>
      <c r="T81" s="36"/>
      <c r="U81" s="44"/>
      <c r="V81" s="44"/>
      <c r="W81" s="44"/>
      <c r="X81" s="44"/>
      <c r="Y81" s="44"/>
      <c r="Z81" s="8"/>
      <c r="AA81" s="8"/>
    </row>
    <row r="82" spans="1:27" ht="15">
      <c r="A82" s="8"/>
      <c r="B82" s="40"/>
      <c r="C82" s="41"/>
      <c r="D82" s="41"/>
      <c r="E82" s="42"/>
      <c r="F82" s="17" t="s">
        <v>17</v>
      </c>
      <c r="G82" s="18">
        <f>COUNTIF(F80:G81,"✔")</f>
        <v>0</v>
      </c>
      <c r="H82" s="17" t="s">
        <v>18</v>
      </c>
      <c r="I82" s="18">
        <f>COUNTIF(H80:I81,"a")</f>
        <v>0</v>
      </c>
      <c r="J82" s="17" t="s">
        <v>17</v>
      </c>
      <c r="K82" s="18">
        <f>COUNTIF(J80:K81,"✔")</f>
        <v>0</v>
      </c>
      <c r="L82" s="17" t="s">
        <v>18</v>
      </c>
      <c r="M82" s="18">
        <f>COUNTIF(L80:M81,"a")</f>
        <v>0</v>
      </c>
      <c r="N82" s="17" t="s">
        <v>17</v>
      </c>
      <c r="O82" s="18">
        <f>COUNTIF(N80:O81,"✔")</f>
        <v>0</v>
      </c>
      <c r="P82" s="17" t="s">
        <v>18</v>
      </c>
      <c r="Q82" s="18">
        <f>COUNTIF(P80:Q81,"a")</f>
        <v>0</v>
      </c>
      <c r="R82" s="17" t="s">
        <v>17</v>
      </c>
      <c r="S82" s="18">
        <f>COUNTIF(R80:S81,"✔")</f>
        <v>0</v>
      </c>
      <c r="T82" s="17" t="s">
        <v>18</v>
      </c>
      <c r="U82" s="18">
        <f>COUNTIF(T80:U81,"a")</f>
        <v>0</v>
      </c>
      <c r="V82" s="17" t="s">
        <v>17</v>
      </c>
      <c r="W82" s="18">
        <f>COUNTIF(V80:W81,"✔")</f>
        <v>0</v>
      </c>
      <c r="X82" s="17" t="s">
        <v>18</v>
      </c>
      <c r="Y82" s="18">
        <f>COUNTIF(X80:Y81,"a")</f>
        <v>0</v>
      </c>
      <c r="Z82" s="8"/>
      <c r="AA82" s="8"/>
    </row>
    <row r="83" spans="1:27" ht="12.75">
      <c r="A83" s="8"/>
      <c r="B83" s="54" t="s">
        <v>43</v>
      </c>
      <c r="C83" s="48"/>
      <c r="D83" s="48"/>
      <c r="E83" s="49"/>
      <c r="F83" s="43"/>
      <c r="G83" s="43"/>
      <c r="H83" s="43"/>
      <c r="I83" s="43"/>
      <c r="J83" s="43"/>
      <c r="K83" s="45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8"/>
      <c r="AA83" s="8"/>
    </row>
    <row r="84" spans="1:27" ht="12.75">
      <c r="A84" s="8"/>
      <c r="B84" s="50"/>
      <c r="C84" s="51"/>
      <c r="D84" s="51"/>
      <c r="E84" s="52"/>
      <c r="F84" s="44"/>
      <c r="G84" s="44"/>
      <c r="H84" s="44"/>
      <c r="I84" s="44"/>
      <c r="J84" s="44"/>
      <c r="K84" s="36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8"/>
      <c r="AA84" s="8"/>
    </row>
    <row r="85" spans="1:27" ht="15">
      <c r="A85" s="8"/>
      <c r="B85" s="40"/>
      <c r="C85" s="41"/>
      <c r="D85" s="41"/>
      <c r="E85" s="42"/>
      <c r="F85" s="17" t="s">
        <v>17</v>
      </c>
      <c r="G85" s="18">
        <f>COUNTIF(F83:G84,"✔")</f>
        <v>0</v>
      </c>
      <c r="H85" s="17" t="s">
        <v>18</v>
      </c>
      <c r="I85" s="18">
        <f>COUNTIF(H83:I84,"a")</f>
        <v>0</v>
      </c>
      <c r="J85" s="17" t="s">
        <v>17</v>
      </c>
      <c r="K85" s="18">
        <f>COUNTIF(J83:K84,"✔")</f>
        <v>0</v>
      </c>
      <c r="L85" s="17" t="s">
        <v>18</v>
      </c>
      <c r="M85" s="18">
        <f>COUNTIF(L83:M84,"a")</f>
        <v>0</v>
      </c>
      <c r="N85" s="17" t="s">
        <v>17</v>
      </c>
      <c r="O85" s="18">
        <f>COUNTIF(N83:O84,"✔")</f>
        <v>0</v>
      </c>
      <c r="P85" s="17" t="s">
        <v>18</v>
      </c>
      <c r="Q85" s="18">
        <f>COUNTIF(P83:Q84,"a")</f>
        <v>0</v>
      </c>
      <c r="R85" s="17" t="s">
        <v>17</v>
      </c>
      <c r="S85" s="18">
        <f>COUNTIF(R83:S84,"✔")</f>
        <v>0</v>
      </c>
      <c r="T85" s="17" t="s">
        <v>18</v>
      </c>
      <c r="U85" s="18">
        <f>COUNTIF(T83:U84,"a")</f>
        <v>0</v>
      </c>
      <c r="V85" s="17" t="s">
        <v>17</v>
      </c>
      <c r="W85" s="18">
        <f>COUNTIF(V83:W84,"✔")</f>
        <v>0</v>
      </c>
      <c r="X85" s="17" t="s">
        <v>18</v>
      </c>
      <c r="Y85" s="18">
        <f>COUNTIF(X83:Y84,"a")</f>
        <v>0</v>
      </c>
      <c r="Z85" s="8"/>
      <c r="AA85" s="8"/>
    </row>
    <row r="86" spans="1:27" ht="12.75">
      <c r="A86" s="8"/>
      <c r="B86" s="47" t="s">
        <v>44</v>
      </c>
      <c r="C86" s="48"/>
      <c r="D86" s="48"/>
      <c r="E86" s="49"/>
      <c r="F86" s="43"/>
      <c r="G86" s="43"/>
      <c r="H86" s="43"/>
      <c r="I86" s="43"/>
      <c r="J86" s="43"/>
      <c r="K86" s="45"/>
      <c r="L86" s="43"/>
      <c r="M86" s="43"/>
      <c r="N86" s="43"/>
      <c r="O86" s="43"/>
      <c r="P86" s="53"/>
      <c r="Q86" s="43"/>
      <c r="R86" s="43"/>
      <c r="S86" s="43"/>
      <c r="T86" s="43"/>
      <c r="U86" s="43"/>
      <c r="V86" s="43"/>
      <c r="W86" s="43"/>
      <c r="X86" s="43"/>
      <c r="Y86" s="43"/>
      <c r="Z86" s="8"/>
      <c r="AA86" s="8"/>
    </row>
    <row r="87" spans="1:27" ht="12.75">
      <c r="A87" s="8"/>
      <c r="B87" s="50"/>
      <c r="C87" s="51"/>
      <c r="D87" s="51"/>
      <c r="E87" s="52"/>
      <c r="F87" s="44"/>
      <c r="G87" s="44"/>
      <c r="H87" s="44"/>
      <c r="I87" s="44"/>
      <c r="J87" s="44"/>
      <c r="K87" s="36"/>
      <c r="L87" s="44"/>
      <c r="M87" s="44"/>
      <c r="N87" s="44"/>
      <c r="O87" s="44"/>
      <c r="P87" s="36"/>
      <c r="Q87" s="44"/>
      <c r="R87" s="44"/>
      <c r="S87" s="44"/>
      <c r="T87" s="44"/>
      <c r="U87" s="44"/>
      <c r="V87" s="44"/>
      <c r="W87" s="44"/>
      <c r="X87" s="44"/>
      <c r="Y87" s="44"/>
      <c r="Z87" s="8"/>
      <c r="AA87" s="8"/>
    </row>
    <row r="88" spans="1:27" ht="15">
      <c r="A88" s="8"/>
      <c r="B88" s="40"/>
      <c r="C88" s="41"/>
      <c r="D88" s="41"/>
      <c r="E88" s="42"/>
      <c r="F88" s="17" t="s">
        <v>17</v>
      </c>
      <c r="G88" s="18">
        <f>COUNTIF(F86:G87,"✔")</f>
        <v>0</v>
      </c>
      <c r="H88" s="17" t="s">
        <v>18</v>
      </c>
      <c r="I88" s="18">
        <f>COUNTIF(H86:I87,"a")</f>
        <v>0</v>
      </c>
      <c r="J88" s="17" t="s">
        <v>17</v>
      </c>
      <c r="K88" s="18">
        <f>COUNTIF(J86:K87,"✔")</f>
        <v>0</v>
      </c>
      <c r="L88" s="17" t="s">
        <v>18</v>
      </c>
      <c r="M88" s="18">
        <f>COUNTIF(L86:M87,"a")</f>
        <v>0</v>
      </c>
      <c r="N88" s="17" t="s">
        <v>17</v>
      </c>
      <c r="O88" s="18">
        <f>COUNTIF(N86:O87,"✔")</f>
        <v>0</v>
      </c>
      <c r="P88" s="17" t="s">
        <v>18</v>
      </c>
      <c r="Q88" s="18">
        <f>COUNTIF(P86:Q87,"a")</f>
        <v>0</v>
      </c>
      <c r="R88" s="17" t="s">
        <v>17</v>
      </c>
      <c r="S88" s="18">
        <f>COUNTIF(R86:S87,"✔")</f>
        <v>0</v>
      </c>
      <c r="T88" s="17" t="s">
        <v>18</v>
      </c>
      <c r="U88" s="18">
        <f>COUNTIF(T86:U87,"a")</f>
        <v>0</v>
      </c>
      <c r="V88" s="17" t="s">
        <v>17</v>
      </c>
      <c r="W88" s="18">
        <f>COUNTIF(V86:W87,"✔")</f>
        <v>0</v>
      </c>
      <c r="X88" s="17" t="s">
        <v>18</v>
      </c>
      <c r="Y88" s="18">
        <f>COUNTIF(X86:Y87,"a")</f>
        <v>0</v>
      </c>
      <c r="Z88" s="8"/>
      <c r="AA88" s="8"/>
    </row>
    <row r="89" spans="1:27" ht="12.75">
      <c r="A89" s="8"/>
      <c r="B89" s="47" t="s">
        <v>45</v>
      </c>
      <c r="C89" s="48"/>
      <c r="D89" s="48"/>
      <c r="E89" s="49"/>
      <c r="F89" s="43"/>
      <c r="G89" s="43"/>
      <c r="H89" s="46" t="s">
        <v>9</v>
      </c>
      <c r="I89" s="43"/>
      <c r="J89" s="43"/>
      <c r="K89" s="45"/>
      <c r="L89" s="46" t="s">
        <v>9</v>
      </c>
      <c r="M89" s="43"/>
      <c r="N89" s="43"/>
      <c r="O89" s="43"/>
      <c r="P89" s="53"/>
      <c r="Q89" s="43"/>
      <c r="R89" s="43"/>
      <c r="S89" s="43"/>
      <c r="T89" s="53"/>
      <c r="U89" s="43"/>
      <c r="V89" s="43"/>
      <c r="W89" s="43"/>
      <c r="X89" s="43"/>
      <c r="Y89" s="43"/>
      <c r="Z89" s="8"/>
      <c r="AA89" s="8"/>
    </row>
    <row r="90" spans="1:27" ht="12.75">
      <c r="A90" s="8"/>
      <c r="B90" s="50"/>
      <c r="C90" s="51"/>
      <c r="D90" s="51"/>
      <c r="E90" s="52"/>
      <c r="F90" s="44"/>
      <c r="G90" s="44"/>
      <c r="H90" s="36"/>
      <c r="I90" s="44"/>
      <c r="J90" s="44"/>
      <c r="K90" s="36"/>
      <c r="L90" s="36"/>
      <c r="M90" s="44"/>
      <c r="N90" s="44"/>
      <c r="O90" s="44"/>
      <c r="P90" s="36"/>
      <c r="Q90" s="44"/>
      <c r="R90" s="44"/>
      <c r="S90" s="44"/>
      <c r="T90" s="36"/>
      <c r="U90" s="44"/>
      <c r="V90" s="44"/>
      <c r="W90" s="44"/>
      <c r="X90" s="44"/>
      <c r="Y90" s="44"/>
      <c r="Z90" s="8"/>
      <c r="AA90" s="8"/>
    </row>
    <row r="91" spans="1:27" ht="15">
      <c r="A91" s="8"/>
      <c r="B91" s="40"/>
      <c r="C91" s="41"/>
      <c r="D91" s="41"/>
      <c r="E91" s="42"/>
      <c r="F91" s="17" t="s">
        <v>17</v>
      </c>
      <c r="G91" s="18">
        <f>COUNTIF(F89:G90,"✔")</f>
        <v>0</v>
      </c>
      <c r="H91" s="17" t="s">
        <v>18</v>
      </c>
      <c r="I91" s="18">
        <f>COUNTIF(H89:I90,"a")</f>
        <v>1</v>
      </c>
      <c r="J91" s="17" t="s">
        <v>17</v>
      </c>
      <c r="K91" s="18">
        <f>COUNTIF(J89:K90,"✔")</f>
        <v>0</v>
      </c>
      <c r="L91" s="17" t="s">
        <v>18</v>
      </c>
      <c r="M91" s="18">
        <f>COUNTIF(L89:M90,"a")</f>
        <v>1</v>
      </c>
      <c r="N91" s="17" t="s">
        <v>17</v>
      </c>
      <c r="O91" s="18">
        <f>COUNTIF(N89:O90,"✔")</f>
        <v>0</v>
      </c>
      <c r="P91" s="17" t="s">
        <v>18</v>
      </c>
      <c r="Q91" s="18">
        <f>COUNTIF(P89:Q90,"a")</f>
        <v>0</v>
      </c>
      <c r="R91" s="17" t="s">
        <v>17</v>
      </c>
      <c r="S91" s="18">
        <f>COUNTIF(R89:S90,"✔")</f>
        <v>0</v>
      </c>
      <c r="T91" s="17" t="s">
        <v>18</v>
      </c>
      <c r="U91" s="18">
        <f>COUNTIF(T89:U90,"a")</f>
        <v>0</v>
      </c>
      <c r="V91" s="17" t="s">
        <v>17</v>
      </c>
      <c r="W91" s="18">
        <f>COUNTIF(V89:W90,"✔")</f>
        <v>0</v>
      </c>
      <c r="X91" s="17" t="s">
        <v>18</v>
      </c>
      <c r="Y91" s="18">
        <f>COUNTIF(X89:Y90,"a")</f>
        <v>0</v>
      </c>
      <c r="Z91" s="8"/>
      <c r="AA91" s="8"/>
    </row>
    <row r="92" spans="1:27" ht="20.25" customHeight="1">
      <c r="A92" s="8"/>
      <c r="B92" s="47" t="s">
        <v>46</v>
      </c>
      <c r="C92" s="48"/>
      <c r="D92" s="48"/>
      <c r="E92" s="49"/>
      <c r="F92" s="43"/>
      <c r="G92" s="43"/>
      <c r="H92" s="15" t="s">
        <v>9</v>
      </c>
      <c r="I92" s="43"/>
      <c r="J92" s="43"/>
      <c r="K92" s="45"/>
      <c r="L92" s="15" t="s">
        <v>9</v>
      </c>
      <c r="M92" s="43"/>
      <c r="N92" s="43"/>
      <c r="O92" s="43"/>
      <c r="P92" s="53"/>
      <c r="Q92" s="43"/>
      <c r="R92" s="43"/>
      <c r="S92" s="43"/>
      <c r="T92" s="53"/>
      <c r="U92" s="43"/>
      <c r="V92" s="43"/>
      <c r="W92" s="43"/>
      <c r="X92" s="53"/>
      <c r="Y92" s="43"/>
      <c r="Z92" s="8"/>
      <c r="AA92" s="8"/>
    </row>
    <row r="93" spans="1:27" ht="15">
      <c r="A93" s="8"/>
      <c r="B93" s="50"/>
      <c r="C93" s="51"/>
      <c r="D93" s="51"/>
      <c r="E93" s="52"/>
      <c r="F93" s="44"/>
      <c r="G93" s="44"/>
      <c r="H93" s="19"/>
      <c r="I93" s="44"/>
      <c r="J93" s="44"/>
      <c r="K93" s="36"/>
      <c r="L93" s="19"/>
      <c r="M93" s="44"/>
      <c r="N93" s="44"/>
      <c r="O93" s="44"/>
      <c r="P93" s="36"/>
      <c r="Q93" s="44"/>
      <c r="R93" s="44"/>
      <c r="S93" s="44"/>
      <c r="T93" s="36"/>
      <c r="U93" s="44"/>
      <c r="V93" s="44"/>
      <c r="W93" s="44"/>
      <c r="X93" s="36"/>
      <c r="Y93" s="44"/>
      <c r="Z93" s="8"/>
      <c r="AA93" s="8"/>
    </row>
    <row r="94" spans="1:27" ht="15">
      <c r="A94" s="8"/>
      <c r="B94" s="40"/>
      <c r="C94" s="41"/>
      <c r="D94" s="41"/>
      <c r="E94" s="42"/>
      <c r="F94" s="17" t="s">
        <v>17</v>
      </c>
      <c r="G94" s="18">
        <f>COUNTIF(F92:G93,"✔")</f>
        <v>0</v>
      </c>
      <c r="H94" s="17" t="s">
        <v>18</v>
      </c>
      <c r="I94" s="18">
        <f>COUNTIF(H92:I93,"a")</f>
        <v>1</v>
      </c>
      <c r="J94" s="17" t="s">
        <v>17</v>
      </c>
      <c r="K94" s="18">
        <f>COUNTIF(J92:K93,"✔")</f>
        <v>0</v>
      </c>
      <c r="L94" s="17" t="s">
        <v>18</v>
      </c>
      <c r="M94" s="18">
        <f>COUNTIF(L92:M93,"a")</f>
        <v>1</v>
      </c>
      <c r="N94" s="17" t="s">
        <v>17</v>
      </c>
      <c r="O94" s="18">
        <f>COUNTIF(N92:O93,"✔")</f>
        <v>0</v>
      </c>
      <c r="P94" s="17" t="s">
        <v>18</v>
      </c>
      <c r="Q94" s="18">
        <f>COUNTIF(P92:Q93,"a")</f>
        <v>0</v>
      </c>
      <c r="R94" s="17" t="s">
        <v>17</v>
      </c>
      <c r="S94" s="18">
        <f>COUNTIF(R92:S93,"✔")</f>
        <v>0</v>
      </c>
      <c r="T94" s="17" t="s">
        <v>18</v>
      </c>
      <c r="U94" s="18">
        <f>COUNTIF(T92:U93,"a")</f>
        <v>0</v>
      </c>
      <c r="V94" s="17" t="s">
        <v>17</v>
      </c>
      <c r="W94" s="18">
        <f>COUNTIF(V92:W93,"✔")</f>
        <v>0</v>
      </c>
      <c r="X94" s="17" t="s">
        <v>18</v>
      </c>
      <c r="Y94" s="18">
        <f>COUNTIF(X92:Y93,"a")</f>
        <v>0</v>
      </c>
      <c r="Z94" s="8"/>
      <c r="AA94" s="8"/>
    </row>
    <row r="95" spans="1:27" ht="12.75">
      <c r="A95" s="8"/>
      <c r="B95" s="47" t="s">
        <v>47</v>
      </c>
      <c r="C95" s="48"/>
      <c r="D95" s="48"/>
      <c r="E95" s="49"/>
      <c r="F95" s="43"/>
      <c r="G95" s="43"/>
      <c r="H95" s="46" t="s">
        <v>9</v>
      </c>
      <c r="I95" s="43"/>
      <c r="J95" s="43"/>
      <c r="K95" s="45"/>
      <c r="L95" s="53"/>
      <c r="M95" s="43"/>
      <c r="N95" s="43"/>
      <c r="O95" s="43"/>
      <c r="P95" s="53"/>
      <c r="Q95" s="43"/>
      <c r="R95" s="43"/>
      <c r="S95" s="43"/>
      <c r="T95" s="53"/>
      <c r="U95" s="43"/>
      <c r="V95" s="43"/>
      <c r="W95" s="43"/>
      <c r="X95" s="53"/>
      <c r="Y95" s="43"/>
      <c r="Z95" s="8"/>
      <c r="AA95" s="8"/>
    </row>
    <row r="96" spans="1:27" ht="12.75">
      <c r="A96" s="8"/>
      <c r="B96" s="50"/>
      <c r="C96" s="51"/>
      <c r="D96" s="51"/>
      <c r="E96" s="52"/>
      <c r="F96" s="44"/>
      <c r="G96" s="44"/>
      <c r="H96" s="36"/>
      <c r="I96" s="44"/>
      <c r="J96" s="44"/>
      <c r="K96" s="36"/>
      <c r="L96" s="36"/>
      <c r="M96" s="44"/>
      <c r="N96" s="44"/>
      <c r="O96" s="44"/>
      <c r="P96" s="36"/>
      <c r="Q96" s="44"/>
      <c r="R96" s="44"/>
      <c r="S96" s="44"/>
      <c r="T96" s="36"/>
      <c r="U96" s="44"/>
      <c r="V96" s="44"/>
      <c r="W96" s="44"/>
      <c r="X96" s="36"/>
      <c r="Y96" s="44"/>
      <c r="Z96" s="8"/>
      <c r="AA96" s="8"/>
    </row>
    <row r="97" spans="1:27" ht="15">
      <c r="A97" s="8"/>
      <c r="B97" s="40"/>
      <c r="C97" s="41"/>
      <c r="D97" s="41"/>
      <c r="E97" s="42"/>
      <c r="F97" s="17" t="s">
        <v>17</v>
      </c>
      <c r="G97" s="18">
        <f>COUNTIF(F95:G96,"✔")</f>
        <v>0</v>
      </c>
      <c r="H97" s="17" t="s">
        <v>18</v>
      </c>
      <c r="I97" s="18">
        <f>COUNTIF(H95:I96,"a")</f>
        <v>1</v>
      </c>
      <c r="J97" s="17" t="s">
        <v>17</v>
      </c>
      <c r="K97" s="18">
        <f>COUNTIF(J95:K96,"✔")</f>
        <v>0</v>
      </c>
      <c r="L97" s="17" t="s">
        <v>18</v>
      </c>
      <c r="M97" s="18">
        <f>COUNTIF(L95:M96,"a")</f>
        <v>0</v>
      </c>
      <c r="N97" s="17" t="s">
        <v>17</v>
      </c>
      <c r="O97" s="18">
        <f>COUNTIF(N95:O96,"✔")</f>
        <v>0</v>
      </c>
      <c r="P97" s="17" t="s">
        <v>18</v>
      </c>
      <c r="Q97" s="18">
        <f>COUNTIF(P95:Q96,"a")</f>
        <v>0</v>
      </c>
      <c r="R97" s="17" t="s">
        <v>17</v>
      </c>
      <c r="S97" s="18">
        <f>COUNTIF(R95:S96,"✔")</f>
        <v>0</v>
      </c>
      <c r="T97" s="17" t="s">
        <v>18</v>
      </c>
      <c r="U97" s="18">
        <f>COUNTIF(T95:U96,"a")</f>
        <v>0</v>
      </c>
      <c r="V97" s="17" t="s">
        <v>17</v>
      </c>
      <c r="W97" s="18">
        <f>COUNTIF(V95:W96,"✔")</f>
        <v>0</v>
      </c>
      <c r="X97" s="17" t="s">
        <v>18</v>
      </c>
      <c r="Y97" s="18">
        <f>COUNTIF(X95:Y96,"a")</f>
        <v>0</v>
      </c>
      <c r="Z97" s="8"/>
      <c r="AA97" s="8"/>
    </row>
    <row r="98" spans="1:27" ht="12.75">
      <c r="A98" s="8"/>
      <c r="B98" s="47" t="s">
        <v>48</v>
      </c>
      <c r="C98" s="48"/>
      <c r="D98" s="48"/>
      <c r="E98" s="49"/>
      <c r="F98" s="43"/>
      <c r="G98" s="43"/>
      <c r="H98" s="46" t="s">
        <v>9</v>
      </c>
      <c r="I98" s="43"/>
      <c r="J98" s="43"/>
      <c r="K98" s="45"/>
      <c r="L98" s="46" t="s">
        <v>9</v>
      </c>
      <c r="M98" s="43"/>
      <c r="N98" s="43"/>
      <c r="O98" s="43"/>
      <c r="P98" s="53"/>
      <c r="Q98" s="43"/>
      <c r="R98" s="43"/>
      <c r="S98" s="43"/>
      <c r="T98" s="53"/>
      <c r="U98" s="43"/>
      <c r="V98" s="43"/>
      <c r="W98" s="43"/>
      <c r="X98" s="53"/>
      <c r="Y98" s="43"/>
      <c r="Z98" s="8"/>
      <c r="AA98" s="8"/>
    </row>
    <row r="99" spans="1:27" ht="12.75">
      <c r="A99" s="8"/>
      <c r="B99" s="50"/>
      <c r="C99" s="51"/>
      <c r="D99" s="51"/>
      <c r="E99" s="52"/>
      <c r="F99" s="44"/>
      <c r="G99" s="44"/>
      <c r="H99" s="36"/>
      <c r="I99" s="44"/>
      <c r="J99" s="44"/>
      <c r="K99" s="36"/>
      <c r="L99" s="36"/>
      <c r="M99" s="44"/>
      <c r="N99" s="44"/>
      <c r="O99" s="44"/>
      <c r="P99" s="36"/>
      <c r="Q99" s="44"/>
      <c r="R99" s="44"/>
      <c r="S99" s="44"/>
      <c r="T99" s="36"/>
      <c r="U99" s="44"/>
      <c r="V99" s="44"/>
      <c r="W99" s="44"/>
      <c r="X99" s="36"/>
      <c r="Y99" s="44"/>
      <c r="Z99" s="8"/>
      <c r="AA99" s="8"/>
    </row>
    <row r="100" spans="1:27" ht="15">
      <c r="A100" s="8"/>
      <c r="B100" s="40"/>
      <c r="C100" s="41"/>
      <c r="D100" s="41"/>
      <c r="E100" s="42"/>
      <c r="F100" s="17" t="s">
        <v>17</v>
      </c>
      <c r="G100" s="18">
        <f>COUNTIF(F98:G99,"✔")</f>
        <v>0</v>
      </c>
      <c r="H100" s="17" t="s">
        <v>18</v>
      </c>
      <c r="I100" s="18">
        <f>COUNTIF(H98:I99,"a")</f>
        <v>1</v>
      </c>
      <c r="J100" s="17" t="s">
        <v>17</v>
      </c>
      <c r="K100" s="18">
        <f>COUNTIF(J98:K99,"✔")</f>
        <v>0</v>
      </c>
      <c r="L100" s="17" t="s">
        <v>18</v>
      </c>
      <c r="M100" s="18">
        <f>COUNTIF(L98:M99,"a")</f>
        <v>1</v>
      </c>
      <c r="N100" s="17" t="s">
        <v>17</v>
      </c>
      <c r="O100" s="18">
        <f>COUNTIF(N98:O99,"✔")</f>
        <v>0</v>
      </c>
      <c r="P100" s="17" t="s">
        <v>18</v>
      </c>
      <c r="Q100" s="18">
        <f>COUNTIF(P98:Q99,"a")</f>
        <v>0</v>
      </c>
      <c r="R100" s="17" t="s">
        <v>17</v>
      </c>
      <c r="S100" s="18">
        <f>COUNTIF(R98:S99,"✔")</f>
        <v>0</v>
      </c>
      <c r="T100" s="17" t="s">
        <v>18</v>
      </c>
      <c r="U100" s="18">
        <f>COUNTIF(T98:U99,"a")</f>
        <v>0</v>
      </c>
      <c r="V100" s="17" t="s">
        <v>17</v>
      </c>
      <c r="W100" s="18">
        <f>COUNTIF(V98:W99,"✔")</f>
        <v>0</v>
      </c>
      <c r="X100" s="17" t="s">
        <v>18</v>
      </c>
      <c r="Y100" s="18">
        <f>COUNTIF(X98:Y99,"a")</f>
        <v>0</v>
      </c>
      <c r="Z100" s="8"/>
      <c r="AA100" s="8"/>
    </row>
    <row r="101" spans="1:27" ht="12.75">
      <c r="A101" s="8"/>
      <c r="B101" s="47" t="s">
        <v>49</v>
      </c>
      <c r="C101" s="48"/>
      <c r="D101" s="48"/>
      <c r="E101" s="49"/>
      <c r="F101" s="43"/>
      <c r="G101" s="43"/>
      <c r="H101" s="46" t="s">
        <v>9</v>
      </c>
      <c r="I101" s="43"/>
      <c r="J101" s="43"/>
      <c r="K101" s="45"/>
      <c r="L101" s="46" t="s">
        <v>9</v>
      </c>
      <c r="M101" s="43"/>
      <c r="N101" s="43"/>
      <c r="O101" s="43"/>
      <c r="P101" s="53"/>
      <c r="Q101" s="43"/>
      <c r="R101" s="43"/>
      <c r="S101" s="43"/>
      <c r="T101" s="43"/>
      <c r="U101" s="43"/>
      <c r="V101" s="43"/>
      <c r="W101" s="43"/>
      <c r="X101" s="53"/>
      <c r="Y101" s="43"/>
      <c r="Z101" s="8"/>
      <c r="AA101" s="8"/>
    </row>
    <row r="102" spans="1:27" ht="12.75">
      <c r="A102" s="8"/>
      <c r="B102" s="50"/>
      <c r="C102" s="51"/>
      <c r="D102" s="51"/>
      <c r="E102" s="52"/>
      <c r="F102" s="44"/>
      <c r="G102" s="44"/>
      <c r="H102" s="36"/>
      <c r="I102" s="44"/>
      <c r="J102" s="44"/>
      <c r="K102" s="36"/>
      <c r="L102" s="36"/>
      <c r="M102" s="44"/>
      <c r="N102" s="44"/>
      <c r="O102" s="44"/>
      <c r="P102" s="36"/>
      <c r="Q102" s="44"/>
      <c r="R102" s="44"/>
      <c r="S102" s="44"/>
      <c r="T102" s="44"/>
      <c r="U102" s="44"/>
      <c r="V102" s="44"/>
      <c r="W102" s="44"/>
      <c r="X102" s="36"/>
      <c r="Y102" s="44"/>
      <c r="Z102" s="8"/>
      <c r="AA102" s="8"/>
    </row>
    <row r="103" spans="1:27" ht="15">
      <c r="A103" s="8"/>
      <c r="B103" s="40"/>
      <c r="C103" s="41"/>
      <c r="D103" s="41"/>
      <c r="E103" s="42"/>
      <c r="F103" s="17" t="s">
        <v>17</v>
      </c>
      <c r="G103" s="18">
        <f>COUNTIF(F101:G102,"✔")</f>
        <v>0</v>
      </c>
      <c r="H103" s="17" t="s">
        <v>18</v>
      </c>
      <c r="I103" s="18">
        <f>COUNTIF(H101:I102,"a")</f>
        <v>1</v>
      </c>
      <c r="J103" s="17" t="s">
        <v>17</v>
      </c>
      <c r="K103" s="18">
        <f>COUNTIF(J101:K102,"✔")</f>
        <v>0</v>
      </c>
      <c r="L103" s="17" t="s">
        <v>18</v>
      </c>
      <c r="M103" s="18">
        <f>COUNTIF(L101:M102,"a")</f>
        <v>1</v>
      </c>
      <c r="N103" s="17" t="s">
        <v>17</v>
      </c>
      <c r="O103" s="18">
        <f>COUNTIF(N101:O102,"✔")</f>
        <v>0</v>
      </c>
      <c r="P103" s="17" t="s">
        <v>18</v>
      </c>
      <c r="Q103" s="18">
        <f>COUNTIF(P101:Q102,"a")</f>
        <v>0</v>
      </c>
      <c r="R103" s="17" t="s">
        <v>17</v>
      </c>
      <c r="S103" s="18">
        <f>COUNTIF(R101:S102,"✔")</f>
        <v>0</v>
      </c>
      <c r="T103" s="17" t="s">
        <v>18</v>
      </c>
      <c r="U103" s="18">
        <f>COUNTIF(T101:U102,"a")</f>
        <v>0</v>
      </c>
      <c r="V103" s="17" t="s">
        <v>17</v>
      </c>
      <c r="W103" s="18">
        <f>COUNTIF(V101:W102,"✔")</f>
        <v>0</v>
      </c>
      <c r="X103" s="17" t="s">
        <v>18</v>
      </c>
      <c r="Y103" s="18">
        <f>COUNTIF(X101:Y102,"a")</f>
        <v>0</v>
      </c>
      <c r="Z103" s="8"/>
      <c r="AA103" s="8"/>
    </row>
    <row r="104" spans="1:27" ht="22.5">
      <c r="A104" s="8"/>
      <c r="B104" s="47" t="s">
        <v>50</v>
      </c>
      <c r="C104" s="48"/>
      <c r="D104" s="48"/>
      <c r="E104" s="49"/>
      <c r="F104" s="43"/>
      <c r="G104" s="43"/>
      <c r="H104" s="15" t="s">
        <v>9</v>
      </c>
      <c r="I104" s="43"/>
      <c r="J104" s="43"/>
      <c r="K104" s="45"/>
      <c r="L104" s="15" t="s">
        <v>9</v>
      </c>
      <c r="M104" s="43"/>
      <c r="N104" s="43"/>
      <c r="O104" s="43"/>
      <c r="P104" s="53"/>
      <c r="Q104" s="43"/>
      <c r="R104" s="43"/>
      <c r="S104" s="43"/>
      <c r="T104" s="53"/>
      <c r="U104" s="43"/>
      <c r="V104" s="43"/>
      <c r="W104" s="43"/>
      <c r="X104" s="53"/>
      <c r="Y104" s="43"/>
      <c r="Z104" s="8"/>
      <c r="AA104" s="8"/>
    </row>
    <row r="105" spans="1:27" ht="15">
      <c r="A105" s="8"/>
      <c r="B105" s="50"/>
      <c r="C105" s="51"/>
      <c r="D105" s="51"/>
      <c r="E105" s="52"/>
      <c r="F105" s="44"/>
      <c r="G105" s="44"/>
      <c r="H105" s="19"/>
      <c r="I105" s="44"/>
      <c r="J105" s="44"/>
      <c r="K105" s="36"/>
      <c r="L105" s="19"/>
      <c r="M105" s="44"/>
      <c r="N105" s="44"/>
      <c r="O105" s="44"/>
      <c r="P105" s="36"/>
      <c r="Q105" s="44"/>
      <c r="R105" s="44"/>
      <c r="S105" s="44"/>
      <c r="T105" s="36"/>
      <c r="U105" s="44"/>
      <c r="V105" s="44"/>
      <c r="W105" s="44"/>
      <c r="X105" s="36"/>
      <c r="Y105" s="44"/>
      <c r="Z105" s="8"/>
      <c r="AA105" s="8"/>
    </row>
    <row r="106" spans="1:27" ht="15">
      <c r="A106" s="8"/>
      <c r="B106" s="40"/>
      <c r="C106" s="41"/>
      <c r="D106" s="41"/>
      <c r="E106" s="42"/>
      <c r="F106" s="17" t="s">
        <v>17</v>
      </c>
      <c r="G106" s="18">
        <f>COUNTIF(F104:G105,"✔")</f>
        <v>0</v>
      </c>
      <c r="H106" s="17" t="s">
        <v>18</v>
      </c>
      <c r="I106" s="18">
        <f>COUNTIF(H104:I105,"a")</f>
        <v>1</v>
      </c>
      <c r="J106" s="17" t="s">
        <v>17</v>
      </c>
      <c r="K106" s="18">
        <f>COUNTIF(J104:K105,"✔")</f>
        <v>0</v>
      </c>
      <c r="L106" s="17" t="s">
        <v>18</v>
      </c>
      <c r="M106" s="18">
        <f>COUNTIF(L104:M105,"a")</f>
        <v>1</v>
      </c>
      <c r="N106" s="17" t="s">
        <v>17</v>
      </c>
      <c r="O106" s="18">
        <f>COUNTIF(N104:O105,"✔")</f>
        <v>0</v>
      </c>
      <c r="P106" s="17" t="s">
        <v>18</v>
      </c>
      <c r="Q106" s="18">
        <f>COUNTIF(P104:Q105,"a")</f>
        <v>0</v>
      </c>
      <c r="R106" s="17" t="s">
        <v>17</v>
      </c>
      <c r="S106" s="18">
        <f>COUNTIF(R104:S105,"✔")</f>
        <v>0</v>
      </c>
      <c r="T106" s="17" t="s">
        <v>18</v>
      </c>
      <c r="U106" s="18">
        <f>COUNTIF(T104:U105,"a")</f>
        <v>0</v>
      </c>
      <c r="V106" s="17" t="s">
        <v>17</v>
      </c>
      <c r="W106" s="18">
        <f>COUNTIF(V104:W105,"✔")</f>
        <v>0</v>
      </c>
      <c r="X106" s="17" t="s">
        <v>18</v>
      </c>
      <c r="Y106" s="18">
        <f>COUNTIF(X104:Y105,"a")</f>
        <v>0</v>
      </c>
      <c r="Z106" s="8"/>
      <c r="AA106" s="8"/>
    </row>
    <row r="107" spans="1:27" ht="22.5">
      <c r="A107" s="8"/>
      <c r="B107" s="47" t="s">
        <v>51</v>
      </c>
      <c r="C107" s="48"/>
      <c r="D107" s="48"/>
      <c r="E107" s="49"/>
      <c r="F107" s="43"/>
      <c r="G107" s="43"/>
      <c r="H107" s="43"/>
      <c r="I107" s="43"/>
      <c r="J107" s="43"/>
      <c r="K107" s="45"/>
      <c r="L107" s="53"/>
      <c r="M107" s="43"/>
      <c r="N107" s="43"/>
      <c r="O107" s="43"/>
      <c r="P107" s="13"/>
      <c r="Q107" s="43"/>
      <c r="R107" s="43"/>
      <c r="S107" s="43"/>
      <c r="T107" s="43"/>
      <c r="U107" s="43"/>
      <c r="V107" s="43"/>
      <c r="W107" s="43"/>
      <c r="X107" s="43"/>
      <c r="Y107" s="43"/>
      <c r="Z107" s="8"/>
      <c r="AA107" s="8"/>
    </row>
    <row r="108" spans="1:27" ht="15">
      <c r="A108" s="8"/>
      <c r="B108" s="50"/>
      <c r="C108" s="51"/>
      <c r="D108" s="51"/>
      <c r="E108" s="52"/>
      <c r="F108" s="44"/>
      <c r="G108" s="44"/>
      <c r="H108" s="44"/>
      <c r="I108" s="44"/>
      <c r="J108" s="44"/>
      <c r="K108" s="36"/>
      <c r="L108" s="36"/>
      <c r="M108" s="44"/>
      <c r="N108" s="44"/>
      <c r="O108" s="44"/>
      <c r="P108" s="19"/>
      <c r="Q108" s="44"/>
      <c r="R108" s="44"/>
      <c r="S108" s="44"/>
      <c r="T108" s="44"/>
      <c r="U108" s="44"/>
      <c r="V108" s="44"/>
      <c r="W108" s="44"/>
      <c r="X108" s="44"/>
      <c r="Y108" s="44"/>
      <c r="Z108" s="8"/>
      <c r="AA108" s="8"/>
    </row>
    <row r="109" spans="1:27" ht="15">
      <c r="A109" s="8"/>
      <c r="B109" s="40"/>
      <c r="C109" s="41"/>
      <c r="D109" s="41"/>
      <c r="E109" s="42"/>
      <c r="F109" s="17" t="s">
        <v>17</v>
      </c>
      <c r="G109" s="18">
        <f>COUNTIF(F107:G108,"✔")</f>
        <v>0</v>
      </c>
      <c r="H109" s="17" t="s">
        <v>18</v>
      </c>
      <c r="I109" s="18">
        <f>COUNTIF(H107:I108,"a")</f>
        <v>0</v>
      </c>
      <c r="J109" s="17" t="s">
        <v>17</v>
      </c>
      <c r="K109" s="18">
        <f>COUNTIF(J107:K108,"✔")</f>
        <v>0</v>
      </c>
      <c r="L109" s="17" t="s">
        <v>18</v>
      </c>
      <c r="M109" s="18">
        <f>COUNTIF(L107:M108,"a")</f>
        <v>0</v>
      </c>
      <c r="N109" s="17" t="s">
        <v>17</v>
      </c>
      <c r="O109" s="18">
        <f>COUNTIF(N107:O108,"✔")</f>
        <v>0</v>
      </c>
      <c r="P109" s="17" t="s">
        <v>18</v>
      </c>
      <c r="Q109" s="18">
        <f>COUNTIF(P107:Q108,"a")</f>
        <v>0</v>
      </c>
      <c r="R109" s="17" t="s">
        <v>17</v>
      </c>
      <c r="S109" s="18">
        <f>COUNTIF(R107:S108,"✔")</f>
        <v>0</v>
      </c>
      <c r="T109" s="17" t="s">
        <v>18</v>
      </c>
      <c r="U109" s="18">
        <f>COUNTIF(T107:U108,"a")</f>
        <v>0</v>
      </c>
      <c r="V109" s="17" t="s">
        <v>17</v>
      </c>
      <c r="W109" s="18">
        <f>COUNTIF(V107:W108,"✔")</f>
        <v>0</v>
      </c>
      <c r="X109" s="17" t="s">
        <v>18</v>
      </c>
      <c r="Y109" s="18">
        <f>COUNTIF(X107:Y108,"a")</f>
        <v>0</v>
      </c>
      <c r="Z109" s="8"/>
      <c r="AA109" s="8"/>
    </row>
    <row r="110" spans="1:27" ht="22.5">
      <c r="A110" s="8"/>
      <c r="B110" s="47" t="s">
        <v>52</v>
      </c>
      <c r="C110" s="48"/>
      <c r="D110" s="48"/>
      <c r="E110" s="49"/>
      <c r="F110" s="43"/>
      <c r="G110" s="43"/>
      <c r="H110" s="13">
        <v>8168554928</v>
      </c>
      <c r="I110" s="43"/>
      <c r="J110" s="43"/>
      <c r="K110" s="45"/>
      <c r="L110" s="46" t="s">
        <v>9</v>
      </c>
      <c r="M110" s="43"/>
      <c r="N110" s="43"/>
      <c r="O110" s="43"/>
      <c r="P110" s="53"/>
      <c r="Q110" s="43"/>
      <c r="R110" s="43"/>
      <c r="S110" s="43"/>
      <c r="T110" s="53"/>
      <c r="U110" s="43"/>
      <c r="V110" s="43"/>
      <c r="W110" s="43"/>
      <c r="X110" s="53"/>
      <c r="Y110" s="43"/>
      <c r="Z110" s="8"/>
      <c r="AA110" s="8"/>
    </row>
    <row r="111" spans="1:27" ht="12.75">
      <c r="A111" s="8"/>
      <c r="B111" s="50"/>
      <c r="C111" s="51"/>
      <c r="D111" s="51"/>
      <c r="E111" s="52"/>
      <c r="F111" s="44"/>
      <c r="G111" s="44"/>
      <c r="H111" s="46" t="s">
        <v>9</v>
      </c>
      <c r="I111" s="44"/>
      <c r="J111" s="44"/>
      <c r="K111" s="36"/>
      <c r="L111" s="36"/>
      <c r="M111" s="44"/>
      <c r="N111" s="44"/>
      <c r="O111" s="44"/>
      <c r="P111" s="36"/>
      <c r="Q111" s="44"/>
      <c r="R111" s="44"/>
      <c r="S111" s="44"/>
      <c r="T111" s="36"/>
      <c r="U111" s="44"/>
      <c r="V111" s="44"/>
      <c r="W111" s="44"/>
      <c r="X111" s="36"/>
      <c r="Y111" s="44"/>
      <c r="Z111" s="8"/>
      <c r="AA111" s="8"/>
    </row>
    <row r="112" spans="1:27" ht="15">
      <c r="A112" s="8"/>
      <c r="B112" s="40"/>
      <c r="C112" s="41"/>
      <c r="D112" s="41"/>
      <c r="E112" s="42"/>
      <c r="F112" s="17" t="s">
        <v>17</v>
      </c>
      <c r="G112" s="18">
        <f>COUNTIF(F110:G111,"✔")</f>
        <v>0</v>
      </c>
      <c r="H112" s="36"/>
      <c r="I112" s="18">
        <f>COUNTIF(H110:I111,"a")</f>
        <v>1</v>
      </c>
      <c r="J112" s="17" t="s">
        <v>17</v>
      </c>
      <c r="K112" s="18">
        <f>COUNTIF(J110:K111,"✔")</f>
        <v>0</v>
      </c>
      <c r="L112" s="17" t="s">
        <v>18</v>
      </c>
      <c r="M112" s="18">
        <f>COUNTIF(L110:M111,"a")</f>
        <v>1</v>
      </c>
      <c r="N112" s="17" t="s">
        <v>17</v>
      </c>
      <c r="O112" s="18">
        <f>COUNTIF(N110:O111,"✔")</f>
        <v>0</v>
      </c>
      <c r="P112" s="17" t="s">
        <v>18</v>
      </c>
      <c r="Q112" s="18">
        <f>COUNTIF(P110:Q111,"a")</f>
        <v>0</v>
      </c>
      <c r="R112" s="17" t="s">
        <v>17</v>
      </c>
      <c r="S112" s="18">
        <f>COUNTIF(R110:S111,"✔")</f>
        <v>0</v>
      </c>
      <c r="T112" s="17" t="s">
        <v>18</v>
      </c>
      <c r="U112" s="18">
        <f>COUNTIF(T110:U111,"a")</f>
        <v>0</v>
      </c>
      <c r="V112" s="17" t="s">
        <v>17</v>
      </c>
      <c r="W112" s="18">
        <f>COUNTIF(V110:W111,"✔")</f>
        <v>0</v>
      </c>
      <c r="X112" s="17" t="s">
        <v>18</v>
      </c>
      <c r="Y112" s="18">
        <f>COUNTIF(X110:Y111,"a")</f>
        <v>0</v>
      </c>
      <c r="Z112" s="8"/>
      <c r="AA112" s="8"/>
    </row>
    <row r="113" spans="1:27" ht="12.75">
      <c r="A113" s="8"/>
      <c r="B113" s="47" t="s">
        <v>36</v>
      </c>
      <c r="C113" s="48"/>
      <c r="D113" s="48"/>
      <c r="E113" s="49"/>
      <c r="F113" s="43"/>
      <c r="G113" s="43"/>
      <c r="H113" s="43"/>
      <c r="I113" s="43"/>
      <c r="J113" s="43"/>
      <c r="K113" s="45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8"/>
      <c r="AA113" s="8"/>
    </row>
    <row r="114" spans="1:27" ht="12.75">
      <c r="A114" s="8"/>
      <c r="B114" s="50"/>
      <c r="C114" s="51"/>
      <c r="D114" s="51"/>
      <c r="E114" s="52"/>
      <c r="F114" s="44"/>
      <c r="G114" s="44"/>
      <c r="H114" s="44"/>
      <c r="I114" s="44"/>
      <c r="J114" s="44"/>
      <c r="K114" s="36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8"/>
      <c r="AA114" s="8"/>
    </row>
    <row r="115" spans="1:27" ht="15">
      <c r="A115" s="8"/>
      <c r="B115" s="40"/>
      <c r="C115" s="41"/>
      <c r="D115" s="41"/>
      <c r="E115" s="42"/>
      <c r="F115" s="17" t="s">
        <v>17</v>
      </c>
      <c r="G115" s="18">
        <f>COUNTIF(F113:G114,"✔")</f>
        <v>0</v>
      </c>
      <c r="H115" s="17" t="s">
        <v>18</v>
      </c>
      <c r="I115" s="18">
        <f>COUNTIF(H113:I114,"a")</f>
        <v>0</v>
      </c>
      <c r="J115" s="17" t="s">
        <v>17</v>
      </c>
      <c r="K115" s="18">
        <f>COUNTIF(J113:K114,"✔")</f>
        <v>0</v>
      </c>
      <c r="L115" s="17" t="s">
        <v>18</v>
      </c>
      <c r="M115" s="18">
        <f>COUNTIF(L113:M114,"a")</f>
        <v>0</v>
      </c>
      <c r="N115" s="17" t="s">
        <v>17</v>
      </c>
      <c r="O115" s="18">
        <f>COUNTIF(N113:O114,"✔")</f>
        <v>0</v>
      </c>
      <c r="P115" s="17" t="s">
        <v>18</v>
      </c>
      <c r="Q115" s="18">
        <f>COUNTIF(P113:Q114,"a")</f>
        <v>0</v>
      </c>
      <c r="R115" s="17" t="s">
        <v>17</v>
      </c>
      <c r="S115" s="18">
        <f>COUNTIF(R113:S114,"✔")</f>
        <v>0</v>
      </c>
      <c r="T115" s="17" t="s">
        <v>18</v>
      </c>
      <c r="U115" s="18">
        <f>COUNTIF(T113:U114,"a")</f>
        <v>0</v>
      </c>
      <c r="V115" s="17" t="s">
        <v>17</v>
      </c>
      <c r="W115" s="18">
        <f>COUNTIF(V113:W114,"✔")</f>
        <v>0</v>
      </c>
      <c r="X115" s="17" t="s">
        <v>18</v>
      </c>
      <c r="Y115" s="18">
        <f>COUNTIF(X113:Y114,"a")</f>
        <v>0</v>
      </c>
      <c r="Z115" s="8"/>
      <c r="AA115" s="8"/>
    </row>
    <row r="116" spans="1:27" ht="22.5">
      <c r="A116" s="8"/>
      <c r="B116" s="47" t="s">
        <v>53</v>
      </c>
      <c r="C116" s="48"/>
      <c r="D116" s="48"/>
      <c r="E116" s="49"/>
      <c r="F116" s="43"/>
      <c r="G116" s="43"/>
      <c r="H116" s="55"/>
      <c r="I116" s="43"/>
      <c r="J116" s="43"/>
      <c r="K116" s="45"/>
      <c r="L116" s="46" t="s">
        <v>9</v>
      </c>
      <c r="M116" s="43"/>
      <c r="N116" s="43"/>
      <c r="O116" s="43"/>
      <c r="P116" s="13"/>
      <c r="Q116" s="43"/>
      <c r="R116" s="43"/>
      <c r="S116" s="43"/>
      <c r="T116" s="53"/>
      <c r="U116" s="43"/>
      <c r="V116" s="43"/>
      <c r="W116" s="43"/>
      <c r="X116" s="53"/>
      <c r="Y116" s="43"/>
      <c r="Z116" s="8"/>
      <c r="AA116" s="8"/>
    </row>
    <row r="117" spans="1:27" ht="15">
      <c r="A117" s="8"/>
      <c r="B117" s="50"/>
      <c r="C117" s="51"/>
      <c r="D117" s="51"/>
      <c r="E117" s="52"/>
      <c r="F117" s="44"/>
      <c r="G117" s="44"/>
      <c r="H117" s="36"/>
      <c r="I117" s="44"/>
      <c r="J117" s="44"/>
      <c r="K117" s="36"/>
      <c r="L117" s="36"/>
      <c r="M117" s="44"/>
      <c r="N117" s="44"/>
      <c r="O117" s="44"/>
      <c r="P117" s="19"/>
      <c r="Q117" s="44"/>
      <c r="R117" s="44"/>
      <c r="S117" s="44"/>
      <c r="T117" s="36"/>
      <c r="U117" s="44"/>
      <c r="V117" s="44"/>
      <c r="W117" s="44"/>
      <c r="X117" s="36"/>
      <c r="Y117" s="44"/>
      <c r="Z117" s="8"/>
      <c r="AA117" s="8"/>
    </row>
    <row r="118" spans="1:27" ht="15">
      <c r="A118" s="8"/>
      <c r="B118" s="40"/>
      <c r="C118" s="41"/>
      <c r="D118" s="41"/>
      <c r="E118" s="42"/>
      <c r="F118" s="17" t="s">
        <v>17</v>
      </c>
      <c r="G118" s="18">
        <f>COUNTIF(F116:G117,"✔")</f>
        <v>0</v>
      </c>
      <c r="H118" s="17" t="s">
        <v>18</v>
      </c>
      <c r="I118" s="18">
        <f>COUNTIF(H116:I117,"a")</f>
        <v>0</v>
      </c>
      <c r="J118" s="17" t="s">
        <v>17</v>
      </c>
      <c r="K118" s="18">
        <f>COUNTIF(J116:K117,"✔")</f>
        <v>0</v>
      </c>
      <c r="L118" s="17" t="s">
        <v>18</v>
      </c>
      <c r="M118" s="18">
        <f>COUNTIF(L116:M117,"a")</f>
        <v>1</v>
      </c>
      <c r="N118" s="17" t="s">
        <v>17</v>
      </c>
      <c r="O118" s="18">
        <f>COUNTIF(N116:O117,"✔")</f>
        <v>0</v>
      </c>
      <c r="P118" s="17" t="s">
        <v>18</v>
      </c>
      <c r="Q118" s="18">
        <f>COUNTIF(P116:Q117,"a")</f>
        <v>0</v>
      </c>
      <c r="R118" s="17" t="s">
        <v>17</v>
      </c>
      <c r="S118" s="18">
        <f>COUNTIF(R116:S117,"✔")</f>
        <v>0</v>
      </c>
      <c r="T118" s="17" t="s">
        <v>18</v>
      </c>
      <c r="U118" s="18">
        <f>COUNTIF(T116:U117,"a")</f>
        <v>0</v>
      </c>
      <c r="V118" s="17" t="s">
        <v>17</v>
      </c>
      <c r="W118" s="18">
        <f>COUNTIF(V116:W117,"✔")</f>
        <v>0</v>
      </c>
      <c r="X118" s="17" t="s">
        <v>18</v>
      </c>
      <c r="Y118" s="18">
        <f>COUNTIF(X116:Y117,"a")</f>
        <v>0</v>
      </c>
      <c r="Z118" s="8"/>
      <c r="AA118" s="8"/>
    </row>
    <row r="119" spans="1:27" ht="12.75">
      <c r="A119" s="8"/>
      <c r="B119" s="54" t="s">
        <v>54</v>
      </c>
      <c r="C119" s="48"/>
      <c r="D119" s="48"/>
      <c r="E119" s="49"/>
      <c r="F119" s="43"/>
      <c r="G119" s="43"/>
      <c r="H119" s="43"/>
      <c r="I119" s="43"/>
      <c r="J119" s="43"/>
      <c r="K119" s="45"/>
      <c r="L119" s="53"/>
      <c r="M119" s="43"/>
      <c r="N119" s="43"/>
      <c r="O119" s="43"/>
      <c r="P119" s="53"/>
      <c r="Q119" s="43"/>
      <c r="R119" s="43"/>
      <c r="S119" s="43"/>
      <c r="T119" s="53"/>
      <c r="U119" s="43"/>
      <c r="V119" s="43"/>
      <c r="W119" s="43"/>
      <c r="X119" s="53"/>
      <c r="Y119" s="43"/>
      <c r="Z119" s="8"/>
      <c r="AA119" s="8"/>
    </row>
    <row r="120" spans="1:27" ht="12.75">
      <c r="A120" s="8"/>
      <c r="B120" s="50"/>
      <c r="C120" s="51"/>
      <c r="D120" s="51"/>
      <c r="E120" s="52"/>
      <c r="F120" s="44"/>
      <c r="G120" s="44"/>
      <c r="H120" s="44"/>
      <c r="I120" s="44"/>
      <c r="J120" s="44"/>
      <c r="K120" s="36"/>
      <c r="L120" s="36"/>
      <c r="M120" s="44"/>
      <c r="N120" s="44"/>
      <c r="O120" s="44"/>
      <c r="P120" s="36"/>
      <c r="Q120" s="44"/>
      <c r="R120" s="44"/>
      <c r="S120" s="44"/>
      <c r="T120" s="36"/>
      <c r="U120" s="44"/>
      <c r="V120" s="44"/>
      <c r="W120" s="44"/>
      <c r="X120" s="36"/>
      <c r="Y120" s="44"/>
      <c r="Z120" s="8"/>
      <c r="AA120" s="8"/>
    </row>
    <row r="121" spans="1:27" ht="15">
      <c r="A121" s="8"/>
      <c r="B121" s="40"/>
      <c r="C121" s="41"/>
      <c r="D121" s="41"/>
      <c r="E121" s="42"/>
      <c r="F121" s="17" t="s">
        <v>17</v>
      </c>
      <c r="G121" s="18">
        <f>COUNTIF(F119:G120,"✔")</f>
        <v>0</v>
      </c>
      <c r="H121" s="17" t="s">
        <v>18</v>
      </c>
      <c r="I121" s="18">
        <f>COUNTIF(H119:I120,"a")</f>
        <v>0</v>
      </c>
      <c r="J121" s="17" t="s">
        <v>17</v>
      </c>
      <c r="K121" s="18">
        <f>COUNTIF(J119:K120,"✔")</f>
        <v>0</v>
      </c>
      <c r="L121" s="17" t="s">
        <v>18</v>
      </c>
      <c r="M121" s="18">
        <f>COUNTIF(L119:M120,"a")</f>
        <v>0</v>
      </c>
      <c r="N121" s="17" t="s">
        <v>17</v>
      </c>
      <c r="O121" s="18">
        <f>COUNTIF(N119:O120,"✔")</f>
        <v>0</v>
      </c>
      <c r="P121" s="17" t="s">
        <v>18</v>
      </c>
      <c r="Q121" s="18">
        <f>COUNTIF(P119:Q120,"a")</f>
        <v>0</v>
      </c>
      <c r="R121" s="17" t="s">
        <v>17</v>
      </c>
      <c r="S121" s="18">
        <f>COUNTIF(R119:S120,"✔")</f>
        <v>0</v>
      </c>
      <c r="T121" s="17" t="s">
        <v>18</v>
      </c>
      <c r="U121" s="18">
        <f>COUNTIF(T119:U120,"a")</f>
        <v>0</v>
      </c>
      <c r="V121" s="17" t="s">
        <v>17</v>
      </c>
      <c r="W121" s="18">
        <f>COUNTIF(V119:W120,"✔")</f>
        <v>0</v>
      </c>
      <c r="X121" s="17" t="s">
        <v>18</v>
      </c>
      <c r="Y121" s="18">
        <f>COUNTIF(X119:Y120,"a")</f>
        <v>0</v>
      </c>
      <c r="Z121" s="8"/>
      <c r="AA121" s="8"/>
    </row>
    <row r="122" spans="1:27" ht="22.5">
      <c r="A122" s="8"/>
      <c r="B122" s="47" t="s">
        <v>55</v>
      </c>
      <c r="C122" s="48"/>
      <c r="D122" s="48"/>
      <c r="E122" s="49"/>
      <c r="F122" s="43"/>
      <c r="G122" s="43"/>
      <c r="H122" s="15" t="s">
        <v>9</v>
      </c>
      <c r="I122" s="43"/>
      <c r="J122" s="43"/>
      <c r="K122" s="45"/>
      <c r="L122" s="15" t="s">
        <v>9</v>
      </c>
      <c r="M122" s="43"/>
      <c r="N122" s="43"/>
      <c r="O122" s="43"/>
      <c r="P122" s="53"/>
      <c r="Q122" s="43"/>
      <c r="R122" s="43"/>
      <c r="S122" s="43"/>
      <c r="T122" s="53"/>
      <c r="U122" s="43"/>
      <c r="V122" s="43"/>
      <c r="W122" s="43"/>
      <c r="X122" s="53"/>
      <c r="Y122" s="43"/>
      <c r="Z122" s="8"/>
      <c r="AA122" s="8"/>
    </row>
    <row r="123" spans="1:27" ht="22.5">
      <c r="A123" s="8"/>
      <c r="B123" s="50"/>
      <c r="C123" s="51"/>
      <c r="D123" s="51"/>
      <c r="E123" s="52"/>
      <c r="F123" s="44"/>
      <c r="G123" s="44"/>
      <c r="H123" s="19"/>
      <c r="I123" s="44"/>
      <c r="J123" s="44"/>
      <c r="K123" s="36"/>
      <c r="L123" s="13"/>
      <c r="M123" s="44"/>
      <c r="N123" s="44"/>
      <c r="O123" s="44"/>
      <c r="P123" s="36"/>
      <c r="Q123" s="44"/>
      <c r="R123" s="44"/>
      <c r="S123" s="44"/>
      <c r="T123" s="36"/>
      <c r="U123" s="44"/>
      <c r="V123" s="44"/>
      <c r="W123" s="44"/>
      <c r="X123" s="36"/>
      <c r="Y123" s="44"/>
      <c r="Z123" s="8"/>
      <c r="AA123" s="8"/>
    </row>
    <row r="124" spans="1:27" ht="15">
      <c r="A124" s="8"/>
      <c r="B124" s="40"/>
      <c r="C124" s="41"/>
      <c r="D124" s="41"/>
      <c r="E124" s="42"/>
      <c r="F124" s="17" t="s">
        <v>17</v>
      </c>
      <c r="G124" s="18">
        <f>COUNTIF(F122:G123,"✔")</f>
        <v>0</v>
      </c>
      <c r="H124" s="17" t="s">
        <v>18</v>
      </c>
      <c r="I124" s="18">
        <f>COUNTIF(H122:I123,"a")</f>
        <v>1</v>
      </c>
      <c r="J124" s="17" t="s">
        <v>17</v>
      </c>
      <c r="K124" s="18">
        <f>COUNTIF(J122:K123,"✔")</f>
        <v>0</v>
      </c>
      <c r="L124" s="17" t="s">
        <v>18</v>
      </c>
      <c r="M124" s="18">
        <f>COUNTIF(L122:M123,"a")</f>
        <v>1</v>
      </c>
      <c r="N124" s="17" t="s">
        <v>17</v>
      </c>
      <c r="O124" s="18">
        <f>COUNTIF(N122:O123,"✔")</f>
        <v>0</v>
      </c>
      <c r="P124" s="17" t="s">
        <v>18</v>
      </c>
      <c r="Q124" s="18">
        <f>COUNTIF(P122:Q123,"a")</f>
        <v>0</v>
      </c>
      <c r="R124" s="17" t="s">
        <v>17</v>
      </c>
      <c r="S124" s="18">
        <f>COUNTIF(R122:S123,"✔")</f>
        <v>0</v>
      </c>
      <c r="T124" s="17" t="s">
        <v>18</v>
      </c>
      <c r="U124" s="18">
        <f>COUNTIF(T122:U123,"a")</f>
        <v>0</v>
      </c>
      <c r="V124" s="17" t="s">
        <v>17</v>
      </c>
      <c r="W124" s="18">
        <f>COUNTIF(V122:W123,"✔")</f>
        <v>0</v>
      </c>
      <c r="X124" s="17" t="s">
        <v>18</v>
      </c>
      <c r="Y124" s="18">
        <f>COUNTIF(X122:Y123,"a")</f>
        <v>0</v>
      </c>
      <c r="Z124" s="8"/>
      <c r="AA124" s="8"/>
    </row>
    <row r="125" spans="1:27" ht="22.5">
      <c r="A125" s="8"/>
      <c r="B125" s="47" t="s">
        <v>56</v>
      </c>
      <c r="C125" s="48"/>
      <c r="D125" s="48"/>
      <c r="E125" s="49"/>
      <c r="F125" s="43"/>
      <c r="G125" s="43"/>
      <c r="H125" s="20"/>
      <c r="I125" s="43"/>
      <c r="J125" s="43"/>
      <c r="K125" s="45"/>
      <c r="L125" s="15" t="s">
        <v>9</v>
      </c>
      <c r="M125" s="43"/>
      <c r="N125" s="43"/>
      <c r="O125" s="43"/>
      <c r="P125" s="53"/>
      <c r="Q125" s="43"/>
      <c r="R125" s="43"/>
      <c r="S125" s="43"/>
      <c r="T125" s="53"/>
      <c r="U125" s="43"/>
      <c r="V125" s="43"/>
      <c r="W125" s="43"/>
      <c r="X125" s="43"/>
      <c r="Y125" s="43"/>
      <c r="Z125" s="8"/>
      <c r="AA125" s="8"/>
    </row>
    <row r="126" spans="1:27" ht="22.5">
      <c r="A126" s="8"/>
      <c r="B126" s="50"/>
      <c r="C126" s="51"/>
      <c r="D126" s="51"/>
      <c r="E126" s="52"/>
      <c r="F126" s="44"/>
      <c r="G126" s="44"/>
      <c r="H126" s="19"/>
      <c r="I126" s="44"/>
      <c r="J126" s="44"/>
      <c r="K126" s="36"/>
      <c r="L126" s="13"/>
      <c r="M126" s="44"/>
      <c r="N126" s="44"/>
      <c r="O126" s="44"/>
      <c r="P126" s="36"/>
      <c r="Q126" s="44"/>
      <c r="R126" s="44"/>
      <c r="S126" s="44"/>
      <c r="T126" s="36"/>
      <c r="U126" s="44"/>
      <c r="V126" s="44"/>
      <c r="W126" s="44"/>
      <c r="X126" s="44"/>
      <c r="Y126" s="44"/>
      <c r="Z126" s="8"/>
      <c r="AA126" s="8"/>
    </row>
    <row r="127" spans="1:27" ht="15">
      <c r="A127" s="8"/>
      <c r="B127" s="40"/>
      <c r="C127" s="41"/>
      <c r="D127" s="41"/>
      <c r="E127" s="42"/>
      <c r="F127" s="17" t="s">
        <v>17</v>
      </c>
      <c r="G127" s="18">
        <f>COUNTIF(F125:G126,"✔")</f>
        <v>0</v>
      </c>
      <c r="H127" s="17" t="s">
        <v>18</v>
      </c>
      <c r="I127" s="18">
        <f>COUNTIF(H125:I126,"a")</f>
        <v>0</v>
      </c>
      <c r="J127" s="17" t="s">
        <v>17</v>
      </c>
      <c r="K127" s="18">
        <f>COUNTIF(J125:K126,"✔")</f>
        <v>0</v>
      </c>
      <c r="L127" s="17" t="s">
        <v>18</v>
      </c>
      <c r="M127" s="18">
        <f>COUNTIF(L125:M126,"a")</f>
        <v>1</v>
      </c>
      <c r="N127" s="17" t="s">
        <v>17</v>
      </c>
      <c r="O127" s="18">
        <f>COUNTIF(N125:O126,"✔")</f>
        <v>0</v>
      </c>
      <c r="P127" s="17" t="s">
        <v>18</v>
      </c>
      <c r="Q127" s="18">
        <f>COUNTIF(P125:Q126,"a")</f>
        <v>0</v>
      </c>
      <c r="R127" s="17" t="s">
        <v>17</v>
      </c>
      <c r="S127" s="18">
        <f>COUNTIF(R125:S126,"✔")</f>
        <v>0</v>
      </c>
      <c r="T127" s="17" t="s">
        <v>18</v>
      </c>
      <c r="U127" s="18">
        <f>COUNTIF(T125:U126,"a")</f>
        <v>0</v>
      </c>
      <c r="V127" s="17" t="s">
        <v>17</v>
      </c>
      <c r="W127" s="18">
        <f>COUNTIF(V125:W126,"✔")</f>
        <v>0</v>
      </c>
      <c r="X127" s="17" t="s">
        <v>18</v>
      </c>
      <c r="Y127" s="18">
        <f>COUNTIF(X125:Y126,"a")</f>
        <v>0</v>
      </c>
      <c r="Z127" s="8"/>
      <c r="AA127" s="8"/>
    </row>
    <row r="128" spans="1:27" ht="22.5">
      <c r="A128" s="8"/>
      <c r="B128" s="54" t="s">
        <v>57</v>
      </c>
      <c r="C128" s="48"/>
      <c r="D128" s="48"/>
      <c r="E128" s="49"/>
      <c r="F128" s="43"/>
      <c r="G128" s="43"/>
      <c r="H128" s="15" t="s">
        <v>9</v>
      </c>
      <c r="I128" s="43"/>
      <c r="J128" s="43"/>
      <c r="K128" s="45"/>
      <c r="L128" s="15" t="s">
        <v>9</v>
      </c>
      <c r="M128" s="43"/>
      <c r="N128" s="43"/>
      <c r="O128" s="43"/>
      <c r="P128" s="53"/>
      <c r="Q128" s="43"/>
      <c r="R128" s="43"/>
      <c r="S128" s="43"/>
      <c r="T128" s="53"/>
      <c r="U128" s="43"/>
      <c r="V128" s="43"/>
      <c r="W128" s="43"/>
      <c r="X128" s="53"/>
      <c r="Y128" s="43"/>
      <c r="Z128" s="8"/>
      <c r="AA128" s="8"/>
    </row>
    <row r="129" spans="1:27" ht="22.5">
      <c r="A129" s="8"/>
      <c r="B129" s="50"/>
      <c r="C129" s="51"/>
      <c r="D129" s="51"/>
      <c r="E129" s="52"/>
      <c r="F129" s="44"/>
      <c r="G129" s="44"/>
      <c r="H129" s="19"/>
      <c r="I129" s="44"/>
      <c r="J129" s="44"/>
      <c r="K129" s="36"/>
      <c r="L129" s="13"/>
      <c r="M129" s="44"/>
      <c r="N129" s="44"/>
      <c r="O129" s="44"/>
      <c r="P129" s="36"/>
      <c r="Q129" s="44"/>
      <c r="R129" s="44"/>
      <c r="S129" s="44"/>
      <c r="T129" s="36"/>
      <c r="U129" s="44"/>
      <c r="V129" s="44"/>
      <c r="W129" s="44"/>
      <c r="X129" s="36"/>
      <c r="Y129" s="44"/>
      <c r="Z129" s="8"/>
      <c r="AA129" s="8"/>
    </row>
    <row r="130" spans="1:27" ht="15">
      <c r="A130" s="8"/>
      <c r="B130" s="40"/>
      <c r="C130" s="41"/>
      <c r="D130" s="41"/>
      <c r="E130" s="42"/>
      <c r="F130" s="17" t="s">
        <v>17</v>
      </c>
      <c r="G130" s="18">
        <f>COUNTIF(F128:G129,"✔")</f>
        <v>0</v>
      </c>
      <c r="H130" s="17" t="s">
        <v>18</v>
      </c>
      <c r="I130" s="18">
        <f>COUNTIF(H128:I129,"a")</f>
        <v>1</v>
      </c>
      <c r="J130" s="17" t="s">
        <v>17</v>
      </c>
      <c r="K130" s="18">
        <f>COUNTIF(J128:K129,"✔")</f>
        <v>0</v>
      </c>
      <c r="L130" s="17" t="s">
        <v>18</v>
      </c>
      <c r="M130" s="18">
        <f>COUNTIF(L128:M129,"a")</f>
        <v>1</v>
      </c>
      <c r="N130" s="17" t="s">
        <v>17</v>
      </c>
      <c r="O130" s="18">
        <f>COUNTIF(N128:O129,"✔")</f>
        <v>0</v>
      </c>
      <c r="P130" s="17" t="s">
        <v>18</v>
      </c>
      <c r="Q130" s="18">
        <f>COUNTIF(P128:Q129,"a")</f>
        <v>0</v>
      </c>
      <c r="R130" s="17" t="s">
        <v>17</v>
      </c>
      <c r="S130" s="18">
        <f>COUNTIF(R128:S129,"✔")</f>
        <v>0</v>
      </c>
      <c r="T130" s="17" t="s">
        <v>18</v>
      </c>
      <c r="U130" s="18">
        <f>COUNTIF(T128:U129,"a")</f>
        <v>0</v>
      </c>
      <c r="V130" s="17" t="s">
        <v>17</v>
      </c>
      <c r="W130" s="18">
        <f>COUNTIF(V128:W129,"✔")</f>
        <v>0</v>
      </c>
      <c r="X130" s="17" t="s">
        <v>18</v>
      </c>
      <c r="Y130" s="18">
        <f>COUNTIF(X128:Y129,"a")</f>
        <v>0</v>
      </c>
      <c r="Z130" s="8"/>
      <c r="AA130" s="8"/>
    </row>
    <row r="131" spans="1:27" ht="22.5">
      <c r="A131" s="8"/>
      <c r="B131" s="47" t="s">
        <v>58</v>
      </c>
      <c r="C131" s="48"/>
      <c r="D131" s="48"/>
      <c r="E131" s="49"/>
      <c r="F131" s="43"/>
      <c r="G131" s="43"/>
      <c r="H131" s="56"/>
      <c r="I131" s="43"/>
      <c r="J131" s="43"/>
      <c r="K131" s="45"/>
      <c r="L131" s="15" t="s">
        <v>9</v>
      </c>
      <c r="M131" s="43"/>
      <c r="N131" s="43"/>
      <c r="O131" s="43"/>
      <c r="P131" s="53"/>
      <c r="Q131" s="43"/>
      <c r="R131" s="43"/>
      <c r="S131" s="43"/>
      <c r="T131" s="53"/>
      <c r="U131" s="43"/>
      <c r="V131" s="43"/>
      <c r="W131" s="43"/>
      <c r="X131" s="53"/>
      <c r="Y131" s="43"/>
      <c r="Z131" s="8"/>
      <c r="AA131" s="8"/>
    </row>
    <row r="132" spans="1:27" ht="22.5">
      <c r="A132" s="8"/>
      <c r="B132" s="50"/>
      <c r="C132" s="51"/>
      <c r="D132" s="51"/>
      <c r="E132" s="52"/>
      <c r="F132" s="44"/>
      <c r="G132" s="44"/>
      <c r="H132" s="36"/>
      <c r="I132" s="44"/>
      <c r="J132" s="44"/>
      <c r="K132" s="36"/>
      <c r="L132" s="13"/>
      <c r="M132" s="44"/>
      <c r="N132" s="44"/>
      <c r="O132" s="44"/>
      <c r="P132" s="36"/>
      <c r="Q132" s="44"/>
      <c r="R132" s="44"/>
      <c r="S132" s="44"/>
      <c r="T132" s="36"/>
      <c r="U132" s="44"/>
      <c r="V132" s="44"/>
      <c r="W132" s="44"/>
      <c r="X132" s="36"/>
      <c r="Y132" s="44"/>
      <c r="Z132" s="8"/>
      <c r="AA132" s="8"/>
    </row>
    <row r="133" spans="1:27" ht="15">
      <c r="A133" s="8"/>
      <c r="B133" s="40"/>
      <c r="C133" s="41"/>
      <c r="D133" s="41"/>
      <c r="E133" s="42"/>
      <c r="F133" s="17" t="s">
        <v>17</v>
      </c>
      <c r="G133" s="18">
        <f>COUNTIF(F131:G132,"✔")</f>
        <v>0</v>
      </c>
      <c r="H133" s="17" t="s">
        <v>18</v>
      </c>
      <c r="I133" s="18">
        <f>COUNTIF(H131:I132,"a")</f>
        <v>0</v>
      </c>
      <c r="J133" s="17" t="s">
        <v>17</v>
      </c>
      <c r="K133" s="18">
        <f>COUNTIF(J131:K132,"✔")</f>
        <v>0</v>
      </c>
      <c r="L133" s="17" t="s">
        <v>18</v>
      </c>
      <c r="M133" s="18">
        <f>COUNTIF(L131:M132,"a")</f>
        <v>1</v>
      </c>
      <c r="N133" s="17" t="s">
        <v>17</v>
      </c>
      <c r="O133" s="18">
        <f>COUNTIF(N131:O132,"✔")</f>
        <v>0</v>
      </c>
      <c r="P133" s="17" t="s">
        <v>18</v>
      </c>
      <c r="Q133" s="18">
        <f>COUNTIF(P131:Q132,"a")</f>
        <v>0</v>
      </c>
      <c r="R133" s="17" t="s">
        <v>17</v>
      </c>
      <c r="S133" s="18">
        <f>COUNTIF(R131:S132,"✔")</f>
        <v>0</v>
      </c>
      <c r="T133" s="17" t="s">
        <v>18</v>
      </c>
      <c r="U133" s="18">
        <f>COUNTIF(T131:U132,"a")</f>
        <v>0</v>
      </c>
      <c r="V133" s="17" t="s">
        <v>17</v>
      </c>
      <c r="W133" s="18">
        <f>COUNTIF(V131:W132,"✔")</f>
        <v>0</v>
      </c>
      <c r="X133" s="17" t="s">
        <v>18</v>
      </c>
      <c r="Y133" s="18">
        <f>COUNTIF(X131:Y132,"a")</f>
        <v>0</v>
      </c>
      <c r="Z133" s="8"/>
      <c r="AA133" s="8"/>
    </row>
    <row r="134" spans="1:27" ht="12.75">
      <c r="A134" s="8"/>
      <c r="B134" s="47" t="s">
        <v>59</v>
      </c>
      <c r="C134" s="48"/>
      <c r="D134" s="48"/>
      <c r="E134" s="49"/>
      <c r="F134" s="43"/>
      <c r="G134" s="43"/>
      <c r="H134" s="43"/>
      <c r="I134" s="43"/>
      <c r="J134" s="43"/>
      <c r="K134" s="45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8"/>
      <c r="AA134" s="8"/>
    </row>
    <row r="135" spans="1:27" ht="12.75">
      <c r="A135" s="8"/>
      <c r="B135" s="50"/>
      <c r="C135" s="51"/>
      <c r="D135" s="51"/>
      <c r="E135" s="52"/>
      <c r="F135" s="44"/>
      <c r="G135" s="44"/>
      <c r="H135" s="44"/>
      <c r="I135" s="44"/>
      <c r="J135" s="44"/>
      <c r="K135" s="36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8"/>
      <c r="AA135" s="8"/>
    </row>
    <row r="136" spans="1:27" ht="15">
      <c r="A136" s="8"/>
      <c r="B136" s="40"/>
      <c r="C136" s="41"/>
      <c r="D136" s="41"/>
      <c r="E136" s="42"/>
      <c r="F136" s="17" t="s">
        <v>17</v>
      </c>
      <c r="G136" s="18">
        <f>COUNTIF(F134:G135,"✔")</f>
        <v>0</v>
      </c>
      <c r="H136" s="17" t="s">
        <v>18</v>
      </c>
      <c r="I136" s="18">
        <f>COUNTIF(H134:I135,"a")</f>
        <v>0</v>
      </c>
      <c r="J136" s="17" t="s">
        <v>17</v>
      </c>
      <c r="K136" s="18">
        <f>COUNTIF(J134:K135,"✔")</f>
        <v>0</v>
      </c>
      <c r="L136" s="17" t="s">
        <v>18</v>
      </c>
      <c r="M136" s="18">
        <f>COUNTIF(L134:M135,"a")</f>
        <v>0</v>
      </c>
      <c r="N136" s="17" t="s">
        <v>17</v>
      </c>
      <c r="O136" s="18">
        <f>COUNTIF(N134:O135,"✔")</f>
        <v>0</v>
      </c>
      <c r="P136" s="17" t="s">
        <v>18</v>
      </c>
      <c r="Q136" s="18">
        <f>COUNTIF(P134:Q135,"a")</f>
        <v>0</v>
      </c>
      <c r="R136" s="17" t="s">
        <v>17</v>
      </c>
      <c r="S136" s="18">
        <f>COUNTIF(R134:S135,"✔")</f>
        <v>0</v>
      </c>
      <c r="T136" s="17" t="s">
        <v>18</v>
      </c>
      <c r="U136" s="18">
        <f>COUNTIF(T134:U135,"a")</f>
        <v>0</v>
      </c>
      <c r="V136" s="17" t="s">
        <v>17</v>
      </c>
      <c r="W136" s="18">
        <f>COUNTIF(V134:W135,"✔")</f>
        <v>0</v>
      </c>
      <c r="X136" s="17" t="s">
        <v>18</v>
      </c>
      <c r="Y136" s="18">
        <f>COUNTIF(X134:Y135,"a")</f>
        <v>0</v>
      </c>
      <c r="Z136" s="8"/>
      <c r="AA136" s="8"/>
    </row>
    <row r="137" spans="1:27" ht="12.75">
      <c r="A137" s="8"/>
      <c r="B137" s="47" t="s">
        <v>60</v>
      </c>
      <c r="C137" s="48"/>
      <c r="D137" s="48"/>
      <c r="E137" s="49"/>
      <c r="F137" s="43"/>
      <c r="G137" s="43"/>
      <c r="H137" s="43"/>
      <c r="I137" s="43"/>
      <c r="J137" s="43"/>
      <c r="K137" s="45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8"/>
      <c r="AA137" s="8"/>
    </row>
    <row r="138" spans="1:27" ht="12.75">
      <c r="A138" s="8"/>
      <c r="B138" s="50"/>
      <c r="C138" s="51"/>
      <c r="D138" s="51"/>
      <c r="E138" s="52"/>
      <c r="F138" s="44"/>
      <c r="G138" s="44"/>
      <c r="H138" s="44"/>
      <c r="I138" s="44"/>
      <c r="J138" s="44"/>
      <c r="K138" s="36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8"/>
      <c r="AA138" s="8"/>
    </row>
    <row r="139" spans="1:27" ht="15">
      <c r="A139" s="8"/>
      <c r="B139" s="40"/>
      <c r="C139" s="41"/>
      <c r="D139" s="41"/>
      <c r="E139" s="42"/>
      <c r="F139" s="17" t="s">
        <v>17</v>
      </c>
      <c r="G139" s="18">
        <f>COUNTIF(F137:G138,"✔")</f>
        <v>0</v>
      </c>
      <c r="H139" s="17" t="s">
        <v>18</v>
      </c>
      <c r="I139" s="18">
        <f>COUNTIF(H137:I138,"a")</f>
        <v>0</v>
      </c>
      <c r="J139" s="17" t="s">
        <v>17</v>
      </c>
      <c r="K139" s="18">
        <f>COUNTIF(J137:K138,"✔")</f>
        <v>0</v>
      </c>
      <c r="L139" s="17" t="s">
        <v>18</v>
      </c>
      <c r="M139" s="18">
        <f>COUNTIF(L137:M138,"a")</f>
        <v>0</v>
      </c>
      <c r="N139" s="17" t="s">
        <v>17</v>
      </c>
      <c r="O139" s="18">
        <f>COUNTIF(N137:O138,"✔")</f>
        <v>0</v>
      </c>
      <c r="P139" s="17" t="s">
        <v>18</v>
      </c>
      <c r="Q139" s="18">
        <f>COUNTIF(P137:Q138,"a")</f>
        <v>0</v>
      </c>
      <c r="R139" s="17" t="s">
        <v>17</v>
      </c>
      <c r="S139" s="18">
        <f>COUNTIF(R137:S138,"✔")</f>
        <v>0</v>
      </c>
      <c r="T139" s="17" t="s">
        <v>18</v>
      </c>
      <c r="U139" s="18">
        <f>COUNTIF(T137:U138,"a")</f>
        <v>0</v>
      </c>
      <c r="V139" s="17" t="s">
        <v>17</v>
      </c>
      <c r="W139" s="18">
        <f>COUNTIF(V137:W138,"✔")</f>
        <v>0</v>
      </c>
      <c r="X139" s="17" t="s">
        <v>18</v>
      </c>
      <c r="Y139" s="18">
        <f>COUNTIF(X137:Y138,"a")</f>
        <v>0</v>
      </c>
      <c r="Z139" s="8"/>
      <c r="AA139" s="8"/>
    </row>
    <row r="140" spans="1:27" ht="12.75">
      <c r="A140" s="8"/>
      <c r="B140" s="47" t="s">
        <v>61</v>
      </c>
      <c r="C140" s="48"/>
      <c r="D140" s="48"/>
      <c r="E140" s="49"/>
      <c r="F140" s="43"/>
      <c r="G140" s="43"/>
      <c r="H140" s="43"/>
      <c r="I140" s="43"/>
      <c r="J140" s="43"/>
      <c r="K140" s="45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8"/>
      <c r="AA140" s="8"/>
    </row>
    <row r="141" spans="1:27" ht="12.75">
      <c r="A141" s="8"/>
      <c r="B141" s="50"/>
      <c r="C141" s="51"/>
      <c r="D141" s="51"/>
      <c r="E141" s="52"/>
      <c r="F141" s="44"/>
      <c r="G141" s="44"/>
      <c r="H141" s="44"/>
      <c r="I141" s="44"/>
      <c r="J141" s="44"/>
      <c r="K141" s="36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8"/>
      <c r="AA141" s="8"/>
    </row>
    <row r="142" spans="1:27" ht="15">
      <c r="A142" s="8"/>
      <c r="B142" s="40"/>
      <c r="C142" s="41"/>
      <c r="D142" s="41"/>
      <c r="E142" s="42"/>
      <c r="F142" s="17" t="s">
        <v>17</v>
      </c>
      <c r="G142" s="18">
        <f>COUNTIF(F140:G141,"✔")</f>
        <v>0</v>
      </c>
      <c r="H142" s="17" t="s">
        <v>18</v>
      </c>
      <c r="I142" s="18">
        <f>COUNTIF(H140:I141,"a")</f>
        <v>0</v>
      </c>
      <c r="J142" s="17" t="s">
        <v>17</v>
      </c>
      <c r="K142" s="18">
        <f>COUNTIF(J140:K141,"✔")</f>
        <v>0</v>
      </c>
      <c r="L142" s="17" t="s">
        <v>18</v>
      </c>
      <c r="M142" s="18">
        <f>COUNTIF(L140:M141,"a")</f>
        <v>0</v>
      </c>
      <c r="N142" s="17" t="s">
        <v>17</v>
      </c>
      <c r="O142" s="18">
        <f>COUNTIF(N140:O141,"✔")</f>
        <v>0</v>
      </c>
      <c r="P142" s="17" t="s">
        <v>18</v>
      </c>
      <c r="Q142" s="18">
        <f>COUNTIF(P140:Q141,"a")</f>
        <v>0</v>
      </c>
      <c r="R142" s="17" t="s">
        <v>17</v>
      </c>
      <c r="S142" s="18">
        <f>COUNTIF(R140:S141,"✔")</f>
        <v>0</v>
      </c>
      <c r="T142" s="17" t="s">
        <v>18</v>
      </c>
      <c r="U142" s="18">
        <f>COUNTIF(T140:U141,"a")</f>
        <v>0</v>
      </c>
      <c r="V142" s="17" t="s">
        <v>17</v>
      </c>
      <c r="W142" s="18">
        <f>COUNTIF(V140:W141,"✔")</f>
        <v>0</v>
      </c>
      <c r="X142" s="17" t="s">
        <v>18</v>
      </c>
      <c r="Y142" s="18">
        <f>COUNTIF(X140:Y141,"a")</f>
        <v>0</v>
      </c>
      <c r="Z142" s="8"/>
      <c r="AA142" s="8"/>
    </row>
    <row r="143" spans="1:27" ht="12.75">
      <c r="A143" s="8"/>
      <c r="B143" s="47" t="s">
        <v>62</v>
      </c>
      <c r="C143" s="48"/>
      <c r="D143" s="48"/>
      <c r="E143" s="49"/>
      <c r="F143" s="43"/>
      <c r="G143" s="43"/>
      <c r="H143" s="43"/>
      <c r="I143" s="43"/>
      <c r="J143" s="43"/>
      <c r="K143" s="45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8"/>
      <c r="AA143" s="8"/>
    </row>
    <row r="144" spans="1:27" ht="12.75">
      <c r="A144" s="8"/>
      <c r="B144" s="50"/>
      <c r="C144" s="51"/>
      <c r="D144" s="51"/>
      <c r="E144" s="52"/>
      <c r="F144" s="44"/>
      <c r="G144" s="44"/>
      <c r="H144" s="44"/>
      <c r="I144" s="44"/>
      <c r="J144" s="44"/>
      <c r="K144" s="36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8"/>
      <c r="AA144" s="8"/>
    </row>
    <row r="145" spans="1:27" ht="15">
      <c r="A145" s="8"/>
      <c r="B145" s="40"/>
      <c r="C145" s="41"/>
      <c r="D145" s="41"/>
      <c r="E145" s="42"/>
      <c r="F145" s="17" t="s">
        <v>17</v>
      </c>
      <c r="G145" s="18">
        <f>COUNTIF(F143:G144,"✔")</f>
        <v>0</v>
      </c>
      <c r="H145" s="17" t="s">
        <v>18</v>
      </c>
      <c r="I145" s="18">
        <f>COUNTIF(H143:I144,"a")</f>
        <v>0</v>
      </c>
      <c r="J145" s="17" t="s">
        <v>17</v>
      </c>
      <c r="K145" s="18">
        <f>COUNTIF(J143:K144,"✔")</f>
        <v>0</v>
      </c>
      <c r="L145" s="17" t="s">
        <v>18</v>
      </c>
      <c r="M145" s="18">
        <f>COUNTIF(L143:M144,"a")</f>
        <v>0</v>
      </c>
      <c r="N145" s="17" t="s">
        <v>17</v>
      </c>
      <c r="O145" s="18">
        <f>COUNTIF(N143:O144,"✔")</f>
        <v>0</v>
      </c>
      <c r="P145" s="17" t="s">
        <v>18</v>
      </c>
      <c r="Q145" s="18">
        <f>COUNTIF(P143:Q144,"a")</f>
        <v>0</v>
      </c>
      <c r="R145" s="17" t="s">
        <v>17</v>
      </c>
      <c r="S145" s="18">
        <f>COUNTIF(R143:S144,"✔")</f>
        <v>0</v>
      </c>
      <c r="T145" s="17" t="s">
        <v>18</v>
      </c>
      <c r="U145" s="18">
        <f>COUNTIF(T143:U144,"a")</f>
        <v>0</v>
      </c>
      <c r="V145" s="17" t="s">
        <v>17</v>
      </c>
      <c r="W145" s="18">
        <f>COUNTIF(V143:W144,"✔")</f>
        <v>0</v>
      </c>
      <c r="X145" s="17" t="s">
        <v>18</v>
      </c>
      <c r="Y145" s="18">
        <f>COUNTIF(X143:Y144,"a")</f>
        <v>0</v>
      </c>
      <c r="Z145" s="8"/>
      <c r="AA145" s="8"/>
    </row>
    <row r="146" spans="1:27" ht="12.75">
      <c r="A146" s="8"/>
      <c r="B146" s="47" t="s">
        <v>63</v>
      </c>
      <c r="C146" s="48"/>
      <c r="D146" s="48"/>
      <c r="E146" s="49"/>
      <c r="F146" s="43"/>
      <c r="G146" s="43"/>
      <c r="H146" s="43"/>
      <c r="I146" s="43"/>
      <c r="J146" s="43"/>
      <c r="K146" s="45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8"/>
      <c r="AA146" s="8"/>
    </row>
    <row r="147" spans="1:27" ht="12.75">
      <c r="A147" s="8"/>
      <c r="B147" s="50"/>
      <c r="C147" s="51"/>
      <c r="D147" s="51"/>
      <c r="E147" s="52"/>
      <c r="F147" s="44"/>
      <c r="G147" s="44"/>
      <c r="H147" s="44"/>
      <c r="I147" s="44"/>
      <c r="J147" s="44"/>
      <c r="K147" s="36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8"/>
      <c r="AA147" s="8"/>
    </row>
    <row r="148" spans="1:27" ht="15">
      <c r="A148" s="8"/>
      <c r="B148" s="40"/>
      <c r="C148" s="41"/>
      <c r="D148" s="41"/>
      <c r="E148" s="42"/>
      <c r="F148" s="17" t="s">
        <v>17</v>
      </c>
      <c r="G148" s="18">
        <f>COUNTIF(F146:G147,"✔")</f>
        <v>0</v>
      </c>
      <c r="H148" s="17" t="s">
        <v>18</v>
      </c>
      <c r="I148" s="18">
        <f>COUNTIF(H146:I147,"a")</f>
        <v>0</v>
      </c>
      <c r="J148" s="17" t="s">
        <v>17</v>
      </c>
      <c r="K148" s="18">
        <f>COUNTIF(J146:K147,"✔")</f>
        <v>0</v>
      </c>
      <c r="L148" s="17" t="s">
        <v>18</v>
      </c>
      <c r="M148" s="18">
        <f>COUNTIF(L146:M147,"a")</f>
        <v>0</v>
      </c>
      <c r="N148" s="17" t="s">
        <v>17</v>
      </c>
      <c r="O148" s="18">
        <f>COUNTIF(N146:O147,"✔")</f>
        <v>0</v>
      </c>
      <c r="P148" s="17" t="s">
        <v>18</v>
      </c>
      <c r="Q148" s="18">
        <f>COUNTIF(P146:Q147,"a")</f>
        <v>0</v>
      </c>
      <c r="R148" s="17" t="s">
        <v>17</v>
      </c>
      <c r="S148" s="18">
        <f>COUNTIF(R146:S147,"✔")</f>
        <v>0</v>
      </c>
      <c r="T148" s="17" t="s">
        <v>18</v>
      </c>
      <c r="U148" s="18">
        <f>COUNTIF(T146:U147,"a")</f>
        <v>0</v>
      </c>
      <c r="V148" s="17" t="s">
        <v>17</v>
      </c>
      <c r="W148" s="18">
        <f>COUNTIF(V146:W147,"✔")</f>
        <v>0</v>
      </c>
      <c r="X148" s="17" t="s">
        <v>18</v>
      </c>
      <c r="Y148" s="18">
        <f>COUNTIF(X146:Y147,"a")</f>
        <v>0</v>
      </c>
      <c r="Z148" s="8"/>
      <c r="AA148" s="8"/>
    </row>
    <row r="149" spans="1:27" ht="12.75">
      <c r="A149" s="8"/>
      <c r="B149" s="47" t="s">
        <v>64</v>
      </c>
      <c r="C149" s="48"/>
      <c r="D149" s="48"/>
      <c r="E149" s="49"/>
      <c r="F149" s="43"/>
      <c r="G149" s="43"/>
      <c r="H149" s="43"/>
      <c r="I149" s="43"/>
      <c r="J149" s="43"/>
      <c r="K149" s="45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8"/>
      <c r="AA149" s="8"/>
    </row>
    <row r="150" spans="1:27" ht="12.75">
      <c r="A150" s="8"/>
      <c r="B150" s="50"/>
      <c r="C150" s="51"/>
      <c r="D150" s="51"/>
      <c r="E150" s="52"/>
      <c r="F150" s="44"/>
      <c r="G150" s="44"/>
      <c r="H150" s="44"/>
      <c r="I150" s="44"/>
      <c r="J150" s="44"/>
      <c r="K150" s="36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8"/>
      <c r="AA150" s="8"/>
    </row>
    <row r="151" spans="1:27" ht="15">
      <c r="A151" s="8"/>
      <c r="B151" s="40"/>
      <c r="C151" s="41"/>
      <c r="D151" s="41"/>
      <c r="E151" s="42"/>
      <c r="F151" s="17" t="s">
        <v>17</v>
      </c>
      <c r="G151" s="18">
        <f>COUNTIF(F149:G150,"✔")</f>
        <v>0</v>
      </c>
      <c r="H151" s="17" t="s">
        <v>18</v>
      </c>
      <c r="I151" s="18">
        <f>COUNTIF(H149:I150,"a")</f>
        <v>0</v>
      </c>
      <c r="J151" s="17" t="s">
        <v>17</v>
      </c>
      <c r="K151" s="18">
        <f>COUNTIF(J149:K150,"✔")</f>
        <v>0</v>
      </c>
      <c r="L151" s="17" t="s">
        <v>18</v>
      </c>
      <c r="M151" s="18">
        <f>COUNTIF(L149:M150,"a")</f>
        <v>0</v>
      </c>
      <c r="N151" s="17" t="s">
        <v>17</v>
      </c>
      <c r="O151" s="18">
        <f>COUNTIF(N149:O150,"✔")</f>
        <v>0</v>
      </c>
      <c r="P151" s="17" t="s">
        <v>18</v>
      </c>
      <c r="Q151" s="18">
        <f>COUNTIF(P149:Q150,"a")</f>
        <v>0</v>
      </c>
      <c r="R151" s="17" t="s">
        <v>17</v>
      </c>
      <c r="S151" s="18">
        <f>COUNTIF(R149:S150,"✔")</f>
        <v>0</v>
      </c>
      <c r="T151" s="17" t="s">
        <v>18</v>
      </c>
      <c r="U151" s="18">
        <f>COUNTIF(T149:U150,"a")</f>
        <v>0</v>
      </c>
      <c r="V151" s="17" t="s">
        <v>17</v>
      </c>
      <c r="W151" s="18">
        <f>COUNTIF(V149:W150,"✔")</f>
        <v>0</v>
      </c>
      <c r="X151" s="17" t="s">
        <v>18</v>
      </c>
      <c r="Y151" s="18">
        <f>COUNTIF(X149:Y150,"a")</f>
        <v>0</v>
      </c>
      <c r="Z151" s="8"/>
      <c r="AA151" s="8"/>
    </row>
    <row r="152" spans="1:27" ht="12.75">
      <c r="A152" s="8"/>
      <c r="B152" s="47" t="s">
        <v>65</v>
      </c>
      <c r="C152" s="48"/>
      <c r="D152" s="48"/>
      <c r="E152" s="49"/>
      <c r="F152" s="43"/>
      <c r="G152" s="43"/>
      <c r="H152" s="43"/>
      <c r="I152" s="43"/>
      <c r="J152" s="43"/>
      <c r="K152" s="45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8"/>
      <c r="AA152" s="8"/>
    </row>
    <row r="153" spans="1:27" ht="12.75">
      <c r="A153" s="8"/>
      <c r="B153" s="50"/>
      <c r="C153" s="51"/>
      <c r="D153" s="51"/>
      <c r="E153" s="52"/>
      <c r="F153" s="44"/>
      <c r="G153" s="44"/>
      <c r="H153" s="44"/>
      <c r="I153" s="44"/>
      <c r="J153" s="44"/>
      <c r="K153" s="36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8"/>
      <c r="AA153" s="8"/>
    </row>
    <row r="154" spans="1:27" ht="15">
      <c r="A154" s="8"/>
      <c r="B154" s="40"/>
      <c r="C154" s="41"/>
      <c r="D154" s="41"/>
      <c r="E154" s="42"/>
      <c r="F154" s="17" t="s">
        <v>17</v>
      </c>
      <c r="G154" s="18">
        <f>COUNTIF(F152:G153,"✔")</f>
        <v>0</v>
      </c>
      <c r="H154" s="17" t="s">
        <v>18</v>
      </c>
      <c r="I154" s="18">
        <f>COUNTIF(H152:I153,"a")</f>
        <v>0</v>
      </c>
      <c r="J154" s="17" t="s">
        <v>17</v>
      </c>
      <c r="K154" s="18">
        <f>COUNTIF(J152:K153,"✔")</f>
        <v>0</v>
      </c>
      <c r="L154" s="17" t="s">
        <v>18</v>
      </c>
      <c r="M154" s="18">
        <f>COUNTIF(L152:M153,"a")</f>
        <v>0</v>
      </c>
      <c r="N154" s="17" t="s">
        <v>17</v>
      </c>
      <c r="O154" s="18">
        <f>COUNTIF(N152:O153,"✔")</f>
        <v>0</v>
      </c>
      <c r="P154" s="17" t="s">
        <v>18</v>
      </c>
      <c r="Q154" s="18">
        <f>COUNTIF(P152:Q153,"a")</f>
        <v>0</v>
      </c>
      <c r="R154" s="17" t="s">
        <v>17</v>
      </c>
      <c r="S154" s="18">
        <f>COUNTIF(R152:S153,"✔")</f>
        <v>0</v>
      </c>
      <c r="T154" s="17" t="s">
        <v>18</v>
      </c>
      <c r="U154" s="18">
        <f>COUNTIF(T152:U153,"a")</f>
        <v>0</v>
      </c>
      <c r="V154" s="17" t="s">
        <v>17</v>
      </c>
      <c r="W154" s="18">
        <f>COUNTIF(V152:W153,"✔")</f>
        <v>0</v>
      </c>
      <c r="X154" s="17" t="s">
        <v>18</v>
      </c>
      <c r="Y154" s="18">
        <f>COUNTIF(X152:Y153,"a")</f>
        <v>0</v>
      </c>
      <c r="Z154" s="8"/>
      <c r="AA154" s="8"/>
    </row>
    <row r="155" spans="1:27" ht="12.75">
      <c r="A155" s="8"/>
      <c r="B155" s="47" t="s">
        <v>66</v>
      </c>
      <c r="C155" s="48"/>
      <c r="D155" s="48"/>
      <c r="E155" s="49"/>
      <c r="F155" s="43"/>
      <c r="G155" s="43"/>
      <c r="H155" s="43"/>
      <c r="I155" s="43"/>
      <c r="J155" s="43"/>
      <c r="K155" s="45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8"/>
      <c r="AA155" s="8"/>
    </row>
    <row r="156" spans="1:27" ht="12.75">
      <c r="A156" s="8"/>
      <c r="B156" s="50"/>
      <c r="C156" s="51"/>
      <c r="D156" s="51"/>
      <c r="E156" s="52"/>
      <c r="F156" s="44"/>
      <c r="G156" s="44"/>
      <c r="H156" s="44"/>
      <c r="I156" s="44"/>
      <c r="J156" s="44"/>
      <c r="K156" s="36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8"/>
      <c r="AA156" s="8"/>
    </row>
    <row r="157" spans="1:27" ht="15">
      <c r="A157" s="8"/>
      <c r="B157" s="40"/>
      <c r="C157" s="41"/>
      <c r="D157" s="41"/>
      <c r="E157" s="42"/>
      <c r="F157" s="17" t="s">
        <v>17</v>
      </c>
      <c r="G157" s="18">
        <f>COUNTIF(F155:G156,"✔")</f>
        <v>0</v>
      </c>
      <c r="H157" s="17" t="s">
        <v>18</v>
      </c>
      <c r="I157" s="18">
        <f>COUNTIF(H155:I156,"a")</f>
        <v>0</v>
      </c>
      <c r="J157" s="17" t="s">
        <v>17</v>
      </c>
      <c r="K157" s="18">
        <f>COUNTIF(J155:K156,"✔")</f>
        <v>0</v>
      </c>
      <c r="L157" s="17" t="s">
        <v>18</v>
      </c>
      <c r="M157" s="18">
        <f>COUNTIF(L155:M156,"a")</f>
        <v>0</v>
      </c>
      <c r="N157" s="17" t="s">
        <v>17</v>
      </c>
      <c r="O157" s="18">
        <f>COUNTIF(N155:O156,"✔")</f>
        <v>0</v>
      </c>
      <c r="P157" s="17" t="s">
        <v>18</v>
      </c>
      <c r="Q157" s="18">
        <f>COUNTIF(P155:Q156,"a")</f>
        <v>0</v>
      </c>
      <c r="R157" s="17" t="s">
        <v>17</v>
      </c>
      <c r="S157" s="18">
        <f>COUNTIF(R155:S156,"✔")</f>
        <v>0</v>
      </c>
      <c r="T157" s="17" t="s">
        <v>18</v>
      </c>
      <c r="U157" s="18">
        <f>COUNTIF(T155:U156,"a")</f>
        <v>0</v>
      </c>
      <c r="V157" s="17" t="s">
        <v>17</v>
      </c>
      <c r="W157" s="18">
        <f>COUNTIF(V155:W156,"✔")</f>
        <v>0</v>
      </c>
      <c r="X157" s="17" t="s">
        <v>18</v>
      </c>
      <c r="Y157" s="18">
        <f>COUNTIF(X155:Y156,"a")</f>
        <v>0</v>
      </c>
      <c r="Z157" s="8"/>
      <c r="AA157" s="8"/>
    </row>
    <row r="158" spans="1:27" ht="12.75">
      <c r="A158" s="8"/>
      <c r="B158" s="47" t="s">
        <v>67</v>
      </c>
      <c r="C158" s="48"/>
      <c r="D158" s="48"/>
      <c r="E158" s="49"/>
      <c r="F158" s="43"/>
      <c r="G158" s="43"/>
      <c r="H158" s="43"/>
      <c r="I158" s="43"/>
      <c r="J158" s="43"/>
      <c r="K158" s="45"/>
      <c r="L158" s="5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8"/>
      <c r="AA158" s="8"/>
    </row>
    <row r="159" spans="1:27" ht="12.75">
      <c r="A159" s="8"/>
      <c r="B159" s="50"/>
      <c r="C159" s="51"/>
      <c r="D159" s="51"/>
      <c r="E159" s="52"/>
      <c r="F159" s="44"/>
      <c r="G159" s="44"/>
      <c r="H159" s="44"/>
      <c r="I159" s="44"/>
      <c r="J159" s="44"/>
      <c r="K159" s="36"/>
      <c r="L159" s="36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8"/>
      <c r="AA159" s="8"/>
    </row>
    <row r="160" spans="1:27" ht="15">
      <c r="A160" s="8"/>
      <c r="B160" s="40"/>
      <c r="C160" s="41"/>
      <c r="D160" s="41"/>
      <c r="E160" s="42"/>
      <c r="F160" s="17" t="s">
        <v>17</v>
      </c>
      <c r="G160" s="18">
        <f>COUNTIF(F158:G159,"✔")</f>
        <v>0</v>
      </c>
      <c r="H160" s="17" t="s">
        <v>18</v>
      </c>
      <c r="I160" s="18">
        <f>COUNTIF(H158:I159,"a")</f>
        <v>0</v>
      </c>
      <c r="J160" s="17" t="s">
        <v>17</v>
      </c>
      <c r="K160" s="18">
        <f>COUNTIF(J158:K159,"✔")</f>
        <v>0</v>
      </c>
      <c r="L160" s="17" t="s">
        <v>18</v>
      </c>
      <c r="M160" s="18">
        <f>COUNTIF(L158:M159,"a")</f>
        <v>0</v>
      </c>
      <c r="N160" s="17" t="s">
        <v>17</v>
      </c>
      <c r="O160" s="18">
        <f>COUNTIF(N158:O159,"✔")</f>
        <v>0</v>
      </c>
      <c r="P160" s="17" t="s">
        <v>18</v>
      </c>
      <c r="Q160" s="18">
        <f>COUNTIF(P158:Q159,"a")</f>
        <v>0</v>
      </c>
      <c r="R160" s="17" t="s">
        <v>17</v>
      </c>
      <c r="S160" s="18">
        <f>COUNTIF(R158:S159,"✔")</f>
        <v>0</v>
      </c>
      <c r="T160" s="17" t="s">
        <v>18</v>
      </c>
      <c r="U160" s="18">
        <f>COUNTIF(T158:U159,"a")</f>
        <v>0</v>
      </c>
      <c r="V160" s="17" t="s">
        <v>17</v>
      </c>
      <c r="W160" s="18">
        <f>COUNTIF(V158:W159,"✔")</f>
        <v>0</v>
      </c>
      <c r="X160" s="17" t="s">
        <v>18</v>
      </c>
      <c r="Y160" s="18">
        <f>COUNTIF(X158:Y159,"a")</f>
        <v>0</v>
      </c>
      <c r="Z160" s="8"/>
      <c r="AA160" s="8"/>
    </row>
    <row r="161" spans="1:27" ht="12.75">
      <c r="A161" s="8"/>
      <c r="B161" s="47" t="s">
        <v>68</v>
      </c>
      <c r="C161" s="48"/>
      <c r="D161" s="48"/>
      <c r="E161" s="49"/>
      <c r="F161" s="43"/>
      <c r="G161" s="43"/>
      <c r="H161" s="43"/>
      <c r="I161" s="43"/>
      <c r="J161" s="43"/>
      <c r="K161" s="45"/>
      <c r="L161" s="43"/>
      <c r="M161" s="43"/>
      <c r="N161" s="43"/>
      <c r="O161" s="43"/>
      <c r="P161" s="57"/>
      <c r="Q161" s="43"/>
      <c r="R161" s="43"/>
      <c r="S161" s="43"/>
      <c r="T161" s="43"/>
      <c r="U161" s="43"/>
      <c r="V161" s="43"/>
      <c r="W161" s="43"/>
      <c r="X161" s="43"/>
      <c r="Y161" s="43"/>
      <c r="Z161" s="8"/>
      <c r="AA161" s="8"/>
    </row>
    <row r="162" spans="1:27" ht="12.75">
      <c r="A162" s="8"/>
      <c r="B162" s="50"/>
      <c r="C162" s="51"/>
      <c r="D162" s="51"/>
      <c r="E162" s="52"/>
      <c r="F162" s="44"/>
      <c r="G162" s="44"/>
      <c r="H162" s="44"/>
      <c r="I162" s="44"/>
      <c r="J162" s="44"/>
      <c r="K162" s="36"/>
      <c r="L162" s="44"/>
      <c r="M162" s="44"/>
      <c r="N162" s="44"/>
      <c r="O162" s="44"/>
      <c r="P162" s="36"/>
      <c r="Q162" s="44"/>
      <c r="R162" s="44"/>
      <c r="S162" s="44"/>
      <c r="T162" s="44"/>
      <c r="U162" s="44"/>
      <c r="V162" s="44"/>
      <c r="W162" s="44"/>
      <c r="X162" s="44"/>
      <c r="Y162" s="44"/>
      <c r="Z162" s="8"/>
      <c r="AA162" s="8"/>
    </row>
    <row r="163" spans="1:27" ht="15">
      <c r="A163" s="8"/>
      <c r="B163" s="40"/>
      <c r="C163" s="41"/>
      <c r="D163" s="41"/>
      <c r="E163" s="42"/>
      <c r="F163" s="17" t="s">
        <v>17</v>
      </c>
      <c r="G163" s="18">
        <f>COUNTIF(F161:G162,"✔")</f>
        <v>0</v>
      </c>
      <c r="H163" s="17" t="s">
        <v>18</v>
      </c>
      <c r="I163" s="18">
        <f>COUNTIF(H161:I162,"a")</f>
        <v>0</v>
      </c>
      <c r="J163" s="17" t="s">
        <v>17</v>
      </c>
      <c r="K163" s="18">
        <f>COUNTIF(J161:K162,"✔")</f>
        <v>0</v>
      </c>
      <c r="L163" s="17" t="s">
        <v>18</v>
      </c>
      <c r="M163" s="18">
        <f>COUNTIF(L161:M162,"a")</f>
        <v>0</v>
      </c>
      <c r="N163" s="17" t="s">
        <v>17</v>
      </c>
      <c r="O163" s="18">
        <f>COUNTIF(N161:O162,"✔")</f>
        <v>0</v>
      </c>
      <c r="P163" s="17" t="s">
        <v>18</v>
      </c>
      <c r="Q163" s="18">
        <f>COUNTIF(P161:Q162,"a")</f>
        <v>0</v>
      </c>
      <c r="R163" s="17" t="s">
        <v>17</v>
      </c>
      <c r="S163" s="18">
        <f>COUNTIF(R161:S162,"✔")</f>
        <v>0</v>
      </c>
      <c r="T163" s="17" t="s">
        <v>18</v>
      </c>
      <c r="U163" s="18">
        <f>COUNTIF(T161:U162,"a")</f>
        <v>0</v>
      </c>
      <c r="V163" s="17" t="s">
        <v>17</v>
      </c>
      <c r="W163" s="18">
        <f>COUNTIF(V161:W162,"✔")</f>
        <v>0</v>
      </c>
      <c r="X163" s="17" t="s">
        <v>18</v>
      </c>
      <c r="Y163" s="18">
        <f>COUNTIF(X161:Y162,"a")</f>
        <v>0</v>
      </c>
      <c r="Z163" s="8"/>
      <c r="AA163" s="8"/>
    </row>
    <row r="164" spans="1:27" ht="12.75">
      <c r="A164" s="8"/>
      <c r="B164" s="47" t="s">
        <v>69</v>
      </c>
      <c r="C164" s="48"/>
      <c r="D164" s="48"/>
      <c r="E164" s="49"/>
      <c r="F164" s="43"/>
      <c r="G164" s="43"/>
      <c r="H164" s="43"/>
      <c r="I164" s="43"/>
      <c r="J164" s="43"/>
      <c r="K164" s="45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8"/>
      <c r="AA164" s="8"/>
    </row>
    <row r="165" spans="1:27" ht="12.75">
      <c r="A165" s="8"/>
      <c r="B165" s="50"/>
      <c r="C165" s="51"/>
      <c r="D165" s="51"/>
      <c r="E165" s="52"/>
      <c r="F165" s="44"/>
      <c r="G165" s="44"/>
      <c r="H165" s="44"/>
      <c r="I165" s="44"/>
      <c r="J165" s="44"/>
      <c r="K165" s="36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8"/>
      <c r="AA165" s="8"/>
    </row>
    <row r="166" spans="1:27" ht="15">
      <c r="A166" s="8"/>
      <c r="B166" s="40"/>
      <c r="C166" s="41"/>
      <c r="D166" s="41"/>
      <c r="E166" s="42"/>
      <c r="F166" s="17" t="s">
        <v>17</v>
      </c>
      <c r="G166" s="18">
        <f>COUNTIF(F164:G165,"✔")</f>
        <v>0</v>
      </c>
      <c r="H166" s="17" t="s">
        <v>18</v>
      </c>
      <c r="I166" s="18">
        <f>COUNTIF(H164:I165,"a")</f>
        <v>0</v>
      </c>
      <c r="J166" s="17" t="s">
        <v>17</v>
      </c>
      <c r="K166" s="18">
        <f>COUNTIF(J164:K165,"✔")</f>
        <v>0</v>
      </c>
      <c r="L166" s="17" t="s">
        <v>18</v>
      </c>
      <c r="M166" s="18">
        <f>COUNTIF(L164:M165,"a")</f>
        <v>0</v>
      </c>
      <c r="N166" s="17" t="s">
        <v>17</v>
      </c>
      <c r="O166" s="18">
        <f>COUNTIF(N164:O165,"✔")</f>
        <v>0</v>
      </c>
      <c r="P166" s="17" t="s">
        <v>18</v>
      </c>
      <c r="Q166" s="18">
        <f>COUNTIF(P164:Q165,"a")</f>
        <v>0</v>
      </c>
      <c r="R166" s="17" t="s">
        <v>17</v>
      </c>
      <c r="S166" s="18">
        <f>COUNTIF(R164:S165,"✔")</f>
        <v>0</v>
      </c>
      <c r="T166" s="17" t="s">
        <v>18</v>
      </c>
      <c r="U166" s="18">
        <f>COUNTIF(T164:U165,"a")</f>
        <v>0</v>
      </c>
      <c r="V166" s="17" t="s">
        <v>17</v>
      </c>
      <c r="W166" s="18">
        <f>COUNTIF(V164:W165,"✔")</f>
        <v>0</v>
      </c>
      <c r="X166" s="17" t="s">
        <v>18</v>
      </c>
      <c r="Y166" s="18">
        <f>COUNTIF(X164:Y165,"a")</f>
        <v>0</v>
      </c>
      <c r="Z166" s="8"/>
      <c r="AA166" s="8"/>
    </row>
    <row r="167" spans="1:27" ht="12.75">
      <c r="A167" s="8"/>
      <c r="B167" s="47" t="s">
        <v>70</v>
      </c>
      <c r="C167" s="48"/>
      <c r="D167" s="48"/>
      <c r="E167" s="49"/>
      <c r="F167" s="43"/>
      <c r="G167" s="43"/>
      <c r="H167" s="43"/>
      <c r="I167" s="43"/>
      <c r="J167" s="43"/>
      <c r="K167" s="45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8"/>
      <c r="AA167" s="8"/>
    </row>
    <row r="168" spans="1:27" ht="12.75">
      <c r="A168" s="8"/>
      <c r="B168" s="50"/>
      <c r="C168" s="51"/>
      <c r="D168" s="51"/>
      <c r="E168" s="52"/>
      <c r="F168" s="44"/>
      <c r="G168" s="44"/>
      <c r="H168" s="44"/>
      <c r="I168" s="44"/>
      <c r="J168" s="44"/>
      <c r="K168" s="36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8"/>
      <c r="AA168" s="8"/>
    </row>
    <row r="169" spans="1:27" ht="15">
      <c r="A169" s="8"/>
      <c r="B169" s="40"/>
      <c r="C169" s="41"/>
      <c r="D169" s="41"/>
      <c r="E169" s="42"/>
      <c r="F169" s="17" t="s">
        <v>17</v>
      </c>
      <c r="G169" s="18">
        <f>COUNTIF(F167:G168,"✔")</f>
        <v>0</v>
      </c>
      <c r="H169" s="17" t="s">
        <v>18</v>
      </c>
      <c r="I169" s="18">
        <f>COUNTIF(H167:I168,"a")</f>
        <v>0</v>
      </c>
      <c r="J169" s="17" t="s">
        <v>17</v>
      </c>
      <c r="K169" s="18">
        <f>COUNTIF(J167:K168,"✔")</f>
        <v>0</v>
      </c>
      <c r="L169" s="17" t="s">
        <v>18</v>
      </c>
      <c r="M169" s="18">
        <f>COUNTIF(L167:M168,"a")</f>
        <v>0</v>
      </c>
      <c r="N169" s="17" t="s">
        <v>17</v>
      </c>
      <c r="O169" s="18">
        <f>COUNTIF(N167:O168,"✔")</f>
        <v>0</v>
      </c>
      <c r="P169" s="17" t="s">
        <v>18</v>
      </c>
      <c r="Q169" s="18">
        <f>COUNTIF(P167:Q168,"a")</f>
        <v>0</v>
      </c>
      <c r="R169" s="17" t="s">
        <v>17</v>
      </c>
      <c r="S169" s="18">
        <f>COUNTIF(R167:S168,"✔")</f>
        <v>0</v>
      </c>
      <c r="T169" s="17" t="s">
        <v>18</v>
      </c>
      <c r="U169" s="18">
        <f>COUNTIF(T167:U168,"a")</f>
        <v>0</v>
      </c>
      <c r="V169" s="17" t="s">
        <v>17</v>
      </c>
      <c r="W169" s="18">
        <f>COUNTIF(V167:W168,"✔")</f>
        <v>0</v>
      </c>
      <c r="X169" s="17" t="s">
        <v>18</v>
      </c>
      <c r="Y169" s="18">
        <f>COUNTIF(X167:Y168,"a")</f>
        <v>0</v>
      </c>
      <c r="Z169" s="8"/>
      <c r="AA169" s="8"/>
    </row>
    <row r="170" spans="1:27" ht="12.75">
      <c r="A170" s="8"/>
      <c r="B170" s="47" t="s">
        <v>71</v>
      </c>
      <c r="C170" s="48"/>
      <c r="D170" s="48"/>
      <c r="E170" s="49"/>
      <c r="F170" s="43"/>
      <c r="G170" s="43"/>
      <c r="H170" s="43"/>
      <c r="I170" s="43"/>
      <c r="J170" s="43"/>
      <c r="K170" s="45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8"/>
      <c r="AA170" s="8"/>
    </row>
    <row r="171" spans="1:27" ht="12.75">
      <c r="A171" s="8"/>
      <c r="B171" s="50"/>
      <c r="C171" s="51"/>
      <c r="D171" s="51"/>
      <c r="E171" s="52"/>
      <c r="F171" s="44"/>
      <c r="G171" s="44"/>
      <c r="H171" s="44"/>
      <c r="I171" s="44"/>
      <c r="J171" s="44"/>
      <c r="K171" s="36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8"/>
      <c r="AA171" s="8"/>
    </row>
    <row r="172" spans="1:27" ht="15">
      <c r="A172" s="8"/>
      <c r="B172" s="40"/>
      <c r="C172" s="41"/>
      <c r="D172" s="41"/>
      <c r="E172" s="42"/>
      <c r="F172" s="17" t="s">
        <v>17</v>
      </c>
      <c r="G172" s="18">
        <f>COUNTIF(F170:G171,"✔")</f>
        <v>0</v>
      </c>
      <c r="H172" s="17" t="s">
        <v>18</v>
      </c>
      <c r="I172" s="18">
        <f>COUNTIF(H170:I171,"a")</f>
        <v>0</v>
      </c>
      <c r="J172" s="17" t="s">
        <v>17</v>
      </c>
      <c r="K172" s="18">
        <f>COUNTIF(J170:K171,"✔")</f>
        <v>0</v>
      </c>
      <c r="L172" s="17" t="s">
        <v>18</v>
      </c>
      <c r="M172" s="18">
        <f>COUNTIF(L170:M171,"a")</f>
        <v>0</v>
      </c>
      <c r="N172" s="17" t="s">
        <v>17</v>
      </c>
      <c r="O172" s="18">
        <f>COUNTIF(N170:O171,"✔")</f>
        <v>0</v>
      </c>
      <c r="P172" s="17" t="s">
        <v>18</v>
      </c>
      <c r="Q172" s="18">
        <f>COUNTIF(P170:Q171,"a")</f>
        <v>0</v>
      </c>
      <c r="R172" s="17" t="s">
        <v>17</v>
      </c>
      <c r="S172" s="18">
        <f>COUNTIF(R170:S171,"✔")</f>
        <v>0</v>
      </c>
      <c r="T172" s="17" t="s">
        <v>18</v>
      </c>
      <c r="U172" s="18">
        <f>COUNTIF(T170:U171,"a")</f>
        <v>0</v>
      </c>
      <c r="V172" s="17" t="s">
        <v>17</v>
      </c>
      <c r="W172" s="18">
        <f>COUNTIF(V170:W171,"✔")</f>
        <v>0</v>
      </c>
      <c r="X172" s="17" t="s">
        <v>18</v>
      </c>
      <c r="Y172" s="18">
        <f>COUNTIF(X170:Y171,"a")</f>
        <v>0</v>
      </c>
      <c r="Z172" s="8"/>
      <c r="AA172" s="8"/>
    </row>
    <row r="173" spans="1:27" ht="12.75">
      <c r="A173" s="8"/>
      <c r="B173" s="47" t="s">
        <v>72</v>
      </c>
      <c r="C173" s="48"/>
      <c r="D173" s="48"/>
      <c r="E173" s="49"/>
      <c r="F173" s="43"/>
      <c r="G173" s="43"/>
      <c r="H173" s="43"/>
      <c r="I173" s="43"/>
      <c r="J173" s="43"/>
      <c r="K173" s="45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8"/>
      <c r="AA173" s="8"/>
    </row>
    <row r="174" spans="1:27" ht="12.75">
      <c r="A174" s="8"/>
      <c r="B174" s="50"/>
      <c r="C174" s="51"/>
      <c r="D174" s="51"/>
      <c r="E174" s="52"/>
      <c r="F174" s="44"/>
      <c r="G174" s="44"/>
      <c r="H174" s="44"/>
      <c r="I174" s="44"/>
      <c r="J174" s="44"/>
      <c r="K174" s="36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8"/>
      <c r="AA174" s="8"/>
    </row>
    <row r="175" spans="1:27" ht="15">
      <c r="A175" s="8"/>
      <c r="B175" s="40"/>
      <c r="C175" s="41"/>
      <c r="D175" s="41"/>
      <c r="E175" s="42"/>
      <c r="F175" s="17" t="s">
        <v>17</v>
      </c>
      <c r="G175" s="18">
        <f>COUNTIF(F173:G174,"✔")</f>
        <v>0</v>
      </c>
      <c r="H175" s="17" t="s">
        <v>18</v>
      </c>
      <c r="I175" s="18">
        <f>COUNTIF(H173:I174,"a")</f>
        <v>0</v>
      </c>
      <c r="J175" s="17" t="s">
        <v>17</v>
      </c>
      <c r="K175" s="18">
        <f>COUNTIF(J173:K174,"✔")</f>
        <v>0</v>
      </c>
      <c r="L175" s="17" t="s">
        <v>18</v>
      </c>
      <c r="M175" s="18">
        <f>COUNTIF(L173:M174,"a")</f>
        <v>0</v>
      </c>
      <c r="N175" s="17" t="s">
        <v>17</v>
      </c>
      <c r="O175" s="18">
        <f>COUNTIF(N173:O174,"✔")</f>
        <v>0</v>
      </c>
      <c r="P175" s="17" t="s">
        <v>18</v>
      </c>
      <c r="Q175" s="18">
        <f>COUNTIF(P173:Q174,"a")</f>
        <v>0</v>
      </c>
      <c r="R175" s="17" t="s">
        <v>17</v>
      </c>
      <c r="S175" s="18">
        <f>COUNTIF(R173:S174,"✔")</f>
        <v>0</v>
      </c>
      <c r="T175" s="17" t="s">
        <v>18</v>
      </c>
      <c r="U175" s="18">
        <f>COUNTIF(T173:U174,"a")</f>
        <v>0</v>
      </c>
      <c r="V175" s="17" t="s">
        <v>17</v>
      </c>
      <c r="W175" s="18">
        <f>COUNTIF(V173:W174,"✔")</f>
        <v>0</v>
      </c>
      <c r="X175" s="17" t="s">
        <v>18</v>
      </c>
      <c r="Y175" s="18">
        <f>COUNTIF(X173:Y174,"a")</f>
        <v>0</v>
      </c>
      <c r="Z175" s="8"/>
      <c r="AA175" s="8"/>
    </row>
    <row r="176" spans="1:27" ht="12.75">
      <c r="A176" s="8"/>
      <c r="B176" s="47" t="s">
        <v>73</v>
      </c>
      <c r="C176" s="48"/>
      <c r="D176" s="48"/>
      <c r="E176" s="49"/>
      <c r="F176" s="43"/>
      <c r="G176" s="43"/>
      <c r="H176" s="43"/>
      <c r="I176" s="43"/>
      <c r="J176" s="43"/>
      <c r="K176" s="45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8"/>
      <c r="AA176" s="8"/>
    </row>
    <row r="177" spans="1:27" ht="12.75">
      <c r="A177" s="8"/>
      <c r="B177" s="50"/>
      <c r="C177" s="51"/>
      <c r="D177" s="51"/>
      <c r="E177" s="52"/>
      <c r="F177" s="44"/>
      <c r="G177" s="44"/>
      <c r="H177" s="44"/>
      <c r="I177" s="44"/>
      <c r="J177" s="44"/>
      <c r="K177" s="36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8"/>
      <c r="AA177" s="8"/>
    </row>
    <row r="178" spans="1:27" ht="15">
      <c r="A178" s="8"/>
      <c r="B178" s="40"/>
      <c r="C178" s="41"/>
      <c r="D178" s="41"/>
      <c r="E178" s="42"/>
      <c r="F178" s="17" t="s">
        <v>17</v>
      </c>
      <c r="G178" s="18">
        <f>COUNTIF(F176:G177,"✔")</f>
        <v>0</v>
      </c>
      <c r="H178" s="17" t="s">
        <v>18</v>
      </c>
      <c r="I178" s="18">
        <f>COUNTIF(H176:I177,"a")</f>
        <v>0</v>
      </c>
      <c r="J178" s="17" t="s">
        <v>17</v>
      </c>
      <c r="K178" s="18">
        <f>COUNTIF(J176:K177,"✔")</f>
        <v>0</v>
      </c>
      <c r="L178" s="17" t="s">
        <v>18</v>
      </c>
      <c r="M178" s="18">
        <f>COUNTIF(L176:M177,"a")</f>
        <v>0</v>
      </c>
      <c r="N178" s="17" t="s">
        <v>17</v>
      </c>
      <c r="O178" s="18">
        <f>COUNTIF(N176:O177,"✔")</f>
        <v>0</v>
      </c>
      <c r="P178" s="17" t="s">
        <v>18</v>
      </c>
      <c r="Q178" s="18">
        <f>COUNTIF(P176:Q177,"a")</f>
        <v>0</v>
      </c>
      <c r="R178" s="17" t="s">
        <v>17</v>
      </c>
      <c r="S178" s="18">
        <f>COUNTIF(R176:S177,"✔")</f>
        <v>0</v>
      </c>
      <c r="T178" s="17" t="s">
        <v>18</v>
      </c>
      <c r="U178" s="18">
        <f>COUNTIF(T176:U177,"a")</f>
        <v>0</v>
      </c>
      <c r="V178" s="17" t="s">
        <v>17</v>
      </c>
      <c r="W178" s="18">
        <f>COUNTIF(V176:W177,"✔")</f>
        <v>0</v>
      </c>
      <c r="X178" s="17" t="s">
        <v>18</v>
      </c>
      <c r="Y178" s="18">
        <f>COUNTIF(X176:Y177,"a")</f>
        <v>0</v>
      </c>
      <c r="Z178" s="8"/>
      <c r="AA178" s="8"/>
    </row>
    <row r="179" spans="1:27" ht="12.75">
      <c r="A179" s="8"/>
      <c r="B179" s="47" t="s">
        <v>74</v>
      </c>
      <c r="C179" s="48"/>
      <c r="D179" s="48"/>
      <c r="E179" s="49"/>
      <c r="F179" s="43"/>
      <c r="G179" s="43"/>
      <c r="H179" s="43"/>
      <c r="I179" s="43"/>
      <c r="J179" s="43"/>
      <c r="K179" s="45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8"/>
      <c r="AA179" s="8"/>
    </row>
    <row r="180" spans="1:27" ht="12.75">
      <c r="A180" s="8"/>
      <c r="B180" s="50"/>
      <c r="C180" s="51"/>
      <c r="D180" s="51"/>
      <c r="E180" s="52"/>
      <c r="F180" s="44"/>
      <c r="G180" s="44"/>
      <c r="H180" s="44"/>
      <c r="I180" s="44"/>
      <c r="J180" s="44"/>
      <c r="K180" s="36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8"/>
      <c r="AA180" s="8"/>
    </row>
    <row r="181" spans="1:27" ht="15">
      <c r="A181" s="8"/>
      <c r="B181" s="40"/>
      <c r="C181" s="41"/>
      <c r="D181" s="41"/>
      <c r="E181" s="42"/>
      <c r="F181" s="17" t="s">
        <v>17</v>
      </c>
      <c r="G181" s="18">
        <f>COUNTIF(F179:G180,"✔")</f>
        <v>0</v>
      </c>
      <c r="H181" s="17" t="s">
        <v>18</v>
      </c>
      <c r="I181" s="18">
        <f>COUNTIF(H179:I180,"a")</f>
        <v>0</v>
      </c>
      <c r="J181" s="17" t="s">
        <v>17</v>
      </c>
      <c r="K181" s="18">
        <f>COUNTIF(J179:K180,"✔")</f>
        <v>0</v>
      </c>
      <c r="L181" s="17" t="s">
        <v>18</v>
      </c>
      <c r="M181" s="18">
        <f>COUNTIF(L179:M180,"a")</f>
        <v>0</v>
      </c>
      <c r="N181" s="17" t="s">
        <v>17</v>
      </c>
      <c r="O181" s="18">
        <f>COUNTIF(N179:O180,"✔")</f>
        <v>0</v>
      </c>
      <c r="P181" s="17" t="s">
        <v>18</v>
      </c>
      <c r="Q181" s="18">
        <f>COUNTIF(P179:Q180,"a")</f>
        <v>0</v>
      </c>
      <c r="R181" s="17" t="s">
        <v>17</v>
      </c>
      <c r="S181" s="18">
        <f>COUNTIF(R179:S180,"✔")</f>
        <v>0</v>
      </c>
      <c r="T181" s="17" t="s">
        <v>18</v>
      </c>
      <c r="U181" s="18">
        <f>COUNTIF(T179:U180,"a")</f>
        <v>0</v>
      </c>
      <c r="V181" s="17" t="s">
        <v>17</v>
      </c>
      <c r="W181" s="18">
        <f>COUNTIF(V179:W180,"✔")</f>
        <v>0</v>
      </c>
      <c r="X181" s="17" t="s">
        <v>18</v>
      </c>
      <c r="Y181" s="18">
        <f>COUNTIF(X179:Y180,"a")</f>
        <v>0</v>
      </c>
      <c r="Z181" s="8"/>
      <c r="AA181" s="8"/>
    </row>
    <row r="182" spans="1:27" ht="12.75">
      <c r="A182" s="8"/>
      <c r="B182" s="47" t="s">
        <v>75</v>
      </c>
      <c r="C182" s="48"/>
      <c r="D182" s="48"/>
      <c r="E182" s="49"/>
      <c r="F182" s="43"/>
      <c r="G182" s="43"/>
      <c r="H182" s="43"/>
      <c r="I182" s="43"/>
      <c r="J182" s="43"/>
      <c r="K182" s="45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8"/>
      <c r="AA182" s="8"/>
    </row>
    <row r="183" spans="1:27" ht="12.75">
      <c r="A183" s="8"/>
      <c r="B183" s="50"/>
      <c r="C183" s="51"/>
      <c r="D183" s="51"/>
      <c r="E183" s="52"/>
      <c r="F183" s="44"/>
      <c r="G183" s="44"/>
      <c r="H183" s="44"/>
      <c r="I183" s="44"/>
      <c r="J183" s="44"/>
      <c r="K183" s="36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8"/>
      <c r="AA183" s="8"/>
    </row>
    <row r="184" spans="1:27" ht="15">
      <c r="A184" s="8"/>
      <c r="B184" s="40"/>
      <c r="C184" s="41"/>
      <c r="D184" s="41"/>
      <c r="E184" s="42"/>
      <c r="F184" s="17" t="s">
        <v>17</v>
      </c>
      <c r="G184" s="18">
        <f>COUNTIF(F182:G183,"✔")</f>
        <v>0</v>
      </c>
      <c r="H184" s="17" t="s">
        <v>18</v>
      </c>
      <c r="I184" s="18">
        <f>COUNTIF(H182:I183,"a")</f>
        <v>0</v>
      </c>
      <c r="J184" s="17" t="s">
        <v>17</v>
      </c>
      <c r="K184" s="18">
        <f>COUNTIF(J182:K183,"✔")</f>
        <v>0</v>
      </c>
      <c r="L184" s="17" t="s">
        <v>18</v>
      </c>
      <c r="M184" s="18">
        <f>COUNTIF(L182:M183,"a")</f>
        <v>0</v>
      </c>
      <c r="N184" s="17" t="s">
        <v>17</v>
      </c>
      <c r="O184" s="18">
        <f>COUNTIF(N182:O183,"✔")</f>
        <v>0</v>
      </c>
      <c r="P184" s="17" t="s">
        <v>18</v>
      </c>
      <c r="Q184" s="18">
        <f>COUNTIF(P182:Q183,"a")</f>
        <v>0</v>
      </c>
      <c r="R184" s="17" t="s">
        <v>17</v>
      </c>
      <c r="S184" s="18">
        <f>COUNTIF(R182:S183,"✔")</f>
        <v>0</v>
      </c>
      <c r="T184" s="17" t="s">
        <v>18</v>
      </c>
      <c r="U184" s="18">
        <f>COUNTIF(T182:U183,"a")</f>
        <v>0</v>
      </c>
      <c r="V184" s="17" t="s">
        <v>17</v>
      </c>
      <c r="W184" s="18">
        <f>COUNTIF(V182:W183,"✔")</f>
        <v>0</v>
      </c>
      <c r="X184" s="17" t="s">
        <v>18</v>
      </c>
      <c r="Y184" s="18">
        <f>COUNTIF(X182:Y183,"a")</f>
        <v>0</v>
      </c>
      <c r="Z184" s="8"/>
      <c r="AA184" s="8"/>
    </row>
    <row r="185" spans="1:27" ht="12.75">
      <c r="A185" s="8"/>
      <c r="B185" s="47" t="s">
        <v>76</v>
      </c>
      <c r="C185" s="48"/>
      <c r="D185" s="48"/>
      <c r="E185" s="49"/>
      <c r="F185" s="43"/>
      <c r="G185" s="43"/>
      <c r="H185" s="43"/>
      <c r="I185" s="43"/>
      <c r="J185" s="43"/>
      <c r="K185" s="45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8"/>
      <c r="AA185" s="8"/>
    </row>
    <row r="186" spans="1:27" ht="12.75">
      <c r="A186" s="8"/>
      <c r="B186" s="50"/>
      <c r="C186" s="51"/>
      <c r="D186" s="51"/>
      <c r="E186" s="52"/>
      <c r="F186" s="44"/>
      <c r="G186" s="44"/>
      <c r="H186" s="44"/>
      <c r="I186" s="44"/>
      <c r="J186" s="44"/>
      <c r="K186" s="36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8"/>
      <c r="AA186" s="8"/>
    </row>
    <row r="187" spans="1:27" ht="15">
      <c r="A187" s="8"/>
      <c r="B187" s="40"/>
      <c r="C187" s="41"/>
      <c r="D187" s="41"/>
      <c r="E187" s="42"/>
      <c r="F187" s="17" t="s">
        <v>17</v>
      </c>
      <c r="G187" s="18">
        <f>COUNTIF(F185:G186,"✔")</f>
        <v>0</v>
      </c>
      <c r="H187" s="17" t="s">
        <v>18</v>
      </c>
      <c r="I187" s="18">
        <f>COUNTIF(H185:I186,"a")</f>
        <v>0</v>
      </c>
      <c r="J187" s="17" t="s">
        <v>17</v>
      </c>
      <c r="K187" s="18">
        <f>COUNTIF(J185:K186,"✔")</f>
        <v>0</v>
      </c>
      <c r="L187" s="17" t="s">
        <v>18</v>
      </c>
      <c r="M187" s="18">
        <f>COUNTIF(L185:M186,"a")</f>
        <v>0</v>
      </c>
      <c r="N187" s="17" t="s">
        <v>17</v>
      </c>
      <c r="O187" s="18">
        <f>COUNTIF(N185:O186,"✔")</f>
        <v>0</v>
      </c>
      <c r="P187" s="17" t="s">
        <v>18</v>
      </c>
      <c r="Q187" s="18">
        <f>COUNTIF(P185:Q186,"a")</f>
        <v>0</v>
      </c>
      <c r="R187" s="17" t="s">
        <v>17</v>
      </c>
      <c r="S187" s="18">
        <f>COUNTIF(R185:S186,"✔")</f>
        <v>0</v>
      </c>
      <c r="T187" s="17" t="s">
        <v>18</v>
      </c>
      <c r="U187" s="18">
        <f>COUNTIF(T185:U186,"a")</f>
        <v>0</v>
      </c>
      <c r="V187" s="17" t="s">
        <v>17</v>
      </c>
      <c r="W187" s="18">
        <f>COUNTIF(V185:W186,"✔")</f>
        <v>0</v>
      </c>
      <c r="X187" s="17" t="s">
        <v>18</v>
      </c>
      <c r="Y187" s="18">
        <f>COUNTIF(X185:Y186,"a")</f>
        <v>0</v>
      </c>
      <c r="Z187" s="8"/>
      <c r="AA187" s="8"/>
    </row>
    <row r="188" spans="1:27" ht="12.75">
      <c r="A188" s="8"/>
      <c r="B188" s="47" t="s">
        <v>77</v>
      </c>
      <c r="C188" s="48"/>
      <c r="D188" s="48"/>
      <c r="E188" s="49"/>
      <c r="F188" s="43"/>
      <c r="G188" s="43"/>
      <c r="H188" s="43"/>
      <c r="I188" s="43"/>
      <c r="J188" s="43"/>
      <c r="K188" s="45"/>
      <c r="L188" s="53"/>
      <c r="M188" s="43"/>
      <c r="N188" s="43"/>
      <c r="O188" s="43"/>
      <c r="P188" s="53"/>
      <c r="Q188" s="43"/>
      <c r="R188" s="43"/>
      <c r="S188" s="43"/>
      <c r="T188" s="43"/>
      <c r="U188" s="43"/>
      <c r="V188" s="43"/>
      <c r="W188" s="43"/>
      <c r="X188" s="43"/>
      <c r="Y188" s="43"/>
      <c r="Z188" s="8"/>
      <c r="AA188" s="8"/>
    </row>
    <row r="189" spans="1:27" ht="12.75">
      <c r="A189" s="8"/>
      <c r="B189" s="50"/>
      <c r="C189" s="51"/>
      <c r="D189" s="51"/>
      <c r="E189" s="52"/>
      <c r="F189" s="44"/>
      <c r="G189" s="44"/>
      <c r="H189" s="44"/>
      <c r="I189" s="44"/>
      <c r="J189" s="44"/>
      <c r="K189" s="36"/>
      <c r="L189" s="36"/>
      <c r="M189" s="44"/>
      <c r="N189" s="44"/>
      <c r="O189" s="44"/>
      <c r="P189" s="36"/>
      <c r="Q189" s="44"/>
      <c r="R189" s="44"/>
      <c r="S189" s="44"/>
      <c r="T189" s="44"/>
      <c r="U189" s="44"/>
      <c r="V189" s="44"/>
      <c r="W189" s="44"/>
      <c r="X189" s="44"/>
      <c r="Y189" s="44"/>
      <c r="Z189" s="8"/>
      <c r="AA189" s="8"/>
    </row>
    <row r="190" spans="1:27" ht="15">
      <c r="A190" s="8"/>
      <c r="B190" s="40"/>
      <c r="C190" s="41"/>
      <c r="D190" s="41"/>
      <c r="E190" s="42"/>
      <c r="F190" s="17" t="s">
        <v>17</v>
      </c>
      <c r="G190" s="18">
        <f>COUNTIF(F188:G189,"✔")</f>
        <v>0</v>
      </c>
      <c r="H190" s="17" t="s">
        <v>18</v>
      </c>
      <c r="I190" s="18">
        <f>COUNTIF(H188:I189,"a")</f>
        <v>0</v>
      </c>
      <c r="J190" s="17" t="s">
        <v>17</v>
      </c>
      <c r="K190" s="18">
        <f>COUNTIF(J188:K189,"✔")</f>
        <v>0</v>
      </c>
      <c r="L190" s="17" t="s">
        <v>18</v>
      </c>
      <c r="M190" s="18">
        <f>COUNTIF(L188:M189,"a")</f>
        <v>0</v>
      </c>
      <c r="N190" s="17" t="s">
        <v>17</v>
      </c>
      <c r="O190" s="18">
        <f>COUNTIF(N188:O189,"✔")</f>
        <v>0</v>
      </c>
      <c r="P190" s="17" t="s">
        <v>18</v>
      </c>
      <c r="Q190" s="18">
        <f>COUNTIF(P188:Q189,"a")</f>
        <v>0</v>
      </c>
      <c r="R190" s="17" t="s">
        <v>17</v>
      </c>
      <c r="S190" s="18">
        <f>COUNTIF(R188:S189,"✔")</f>
        <v>0</v>
      </c>
      <c r="T190" s="17" t="s">
        <v>18</v>
      </c>
      <c r="U190" s="18">
        <f>COUNTIF(T188:U189,"a")</f>
        <v>0</v>
      </c>
      <c r="V190" s="17" t="s">
        <v>17</v>
      </c>
      <c r="W190" s="18">
        <f>COUNTIF(V188:W189,"✔")</f>
        <v>0</v>
      </c>
      <c r="X190" s="17" t="s">
        <v>18</v>
      </c>
      <c r="Y190" s="18">
        <f>COUNTIF(X188:Y189,"a")</f>
        <v>0</v>
      </c>
      <c r="Z190" s="8"/>
      <c r="AA190" s="8"/>
    </row>
    <row r="191" spans="1:27" ht="12.75">
      <c r="A191" s="8"/>
      <c r="B191" s="47" t="s">
        <v>78</v>
      </c>
      <c r="C191" s="48"/>
      <c r="D191" s="48"/>
      <c r="E191" s="49"/>
      <c r="F191" s="43"/>
      <c r="G191" s="43"/>
      <c r="H191" s="43"/>
      <c r="I191" s="43"/>
      <c r="J191" s="43"/>
      <c r="K191" s="45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8"/>
      <c r="AA191" s="8"/>
    </row>
    <row r="192" spans="1:27" ht="12.75">
      <c r="A192" s="8"/>
      <c r="B192" s="50"/>
      <c r="C192" s="51"/>
      <c r="D192" s="51"/>
      <c r="E192" s="52"/>
      <c r="F192" s="44"/>
      <c r="G192" s="44"/>
      <c r="H192" s="44"/>
      <c r="I192" s="44"/>
      <c r="J192" s="44"/>
      <c r="K192" s="36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8"/>
      <c r="AA192" s="8"/>
    </row>
    <row r="193" spans="1:27" ht="15">
      <c r="A193" s="8"/>
      <c r="B193" s="40"/>
      <c r="C193" s="41"/>
      <c r="D193" s="41"/>
      <c r="E193" s="42"/>
      <c r="F193" s="17" t="s">
        <v>17</v>
      </c>
      <c r="G193" s="18">
        <f>COUNTIF(F191:G192,"✔")</f>
        <v>0</v>
      </c>
      <c r="H193" s="17" t="s">
        <v>18</v>
      </c>
      <c r="I193" s="18">
        <f>COUNTIF(H191:I192,"a")</f>
        <v>0</v>
      </c>
      <c r="J193" s="17" t="s">
        <v>17</v>
      </c>
      <c r="K193" s="18">
        <f>COUNTIF(J191:K192,"✔")</f>
        <v>0</v>
      </c>
      <c r="L193" s="17" t="s">
        <v>18</v>
      </c>
      <c r="M193" s="18">
        <f>COUNTIF(L191:M192,"a")</f>
        <v>0</v>
      </c>
      <c r="N193" s="17" t="s">
        <v>17</v>
      </c>
      <c r="O193" s="18">
        <f>COUNTIF(N191:O192,"✔")</f>
        <v>0</v>
      </c>
      <c r="P193" s="17" t="s">
        <v>18</v>
      </c>
      <c r="Q193" s="18">
        <f>COUNTIF(P191:Q192,"a")</f>
        <v>0</v>
      </c>
      <c r="R193" s="17" t="s">
        <v>17</v>
      </c>
      <c r="S193" s="18">
        <f>COUNTIF(R191:S192,"✔")</f>
        <v>0</v>
      </c>
      <c r="T193" s="17" t="s">
        <v>18</v>
      </c>
      <c r="U193" s="18">
        <f>COUNTIF(T191:U192,"a")</f>
        <v>0</v>
      </c>
      <c r="V193" s="17" t="s">
        <v>17</v>
      </c>
      <c r="W193" s="18">
        <f>COUNTIF(V191:W192,"✔")</f>
        <v>0</v>
      </c>
      <c r="X193" s="17" t="s">
        <v>18</v>
      </c>
      <c r="Y193" s="18">
        <f>COUNTIF(X191:Y192,"a")</f>
        <v>0</v>
      </c>
      <c r="Z193" s="8"/>
      <c r="AA193" s="8"/>
    </row>
    <row r="194" spans="1:27" ht="12.75">
      <c r="A194" s="8"/>
      <c r="B194" s="47" t="s">
        <v>79</v>
      </c>
      <c r="C194" s="48"/>
      <c r="D194" s="48"/>
      <c r="E194" s="49"/>
      <c r="F194" s="43"/>
      <c r="G194" s="43"/>
      <c r="H194" s="43"/>
      <c r="I194" s="43"/>
      <c r="J194" s="43"/>
      <c r="K194" s="45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8"/>
      <c r="AA194" s="8"/>
    </row>
    <row r="195" spans="1:27" ht="12.75">
      <c r="A195" s="8"/>
      <c r="B195" s="50"/>
      <c r="C195" s="51"/>
      <c r="D195" s="51"/>
      <c r="E195" s="52"/>
      <c r="F195" s="44"/>
      <c r="G195" s="44"/>
      <c r="H195" s="44"/>
      <c r="I195" s="44"/>
      <c r="J195" s="44"/>
      <c r="K195" s="36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8"/>
      <c r="AA195" s="8"/>
    </row>
    <row r="196" spans="1:27" ht="15">
      <c r="A196" s="8"/>
      <c r="B196" s="40"/>
      <c r="C196" s="41"/>
      <c r="D196" s="41"/>
      <c r="E196" s="42"/>
      <c r="F196" s="17" t="s">
        <v>17</v>
      </c>
      <c r="G196" s="18">
        <f>COUNTIF(F194:G195,"✔")</f>
        <v>0</v>
      </c>
      <c r="H196" s="17" t="s">
        <v>18</v>
      </c>
      <c r="I196" s="18">
        <f>COUNTIF(H194:I195,"a")</f>
        <v>0</v>
      </c>
      <c r="J196" s="17" t="s">
        <v>17</v>
      </c>
      <c r="K196" s="18">
        <f>COUNTIF(J194:K195,"✔")</f>
        <v>0</v>
      </c>
      <c r="L196" s="17" t="s">
        <v>18</v>
      </c>
      <c r="M196" s="18">
        <f>COUNTIF(L194:M195,"a")</f>
        <v>0</v>
      </c>
      <c r="N196" s="17" t="s">
        <v>17</v>
      </c>
      <c r="O196" s="18">
        <f>COUNTIF(N194:O195,"✔")</f>
        <v>0</v>
      </c>
      <c r="P196" s="17" t="s">
        <v>18</v>
      </c>
      <c r="Q196" s="18">
        <f>COUNTIF(P194:Q195,"a")</f>
        <v>0</v>
      </c>
      <c r="R196" s="17" t="s">
        <v>17</v>
      </c>
      <c r="S196" s="18">
        <f>COUNTIF(R194:S195,"✔")</f>
        <v>0</v>
      </c>
      <c r="T196" s="17" t="s">
        <v>18</v>
      </c>
      <c r="U196" s="18">
        <f>COUNTIF(T194:U195,"a")</f>
        <v>0</v>
      </c>
      <c r="V196" s="17" t="s">
        <v>17</v>
      </c>
      <c r="W196" s="18">
        <f>COUNTIF(V194:W195,"✔")</f>
        <v>0</v>
      </c>
      <c r="X196" s="17" t="s">
        <v>18</v>
      </c>
      <c r="Y196" s="18">
        <f>COUNTIF(X194:Y195,"a")</f>
        <v>0</v>
      </c>
      <c r="Z196" s="8"/>
      <c r="AA196" s="8"/>
    </row>
    <row r="197" spans="1:27" ht="12.75">
      <c r="A197" s="8"/>
      <c r="B197" s="47" t="s">
        <v>80</v>
      </c>
      <c r="C197" s="48"/>
      <c r="D197" s="48"/>
      <c r="E197" s="49"/>
      <c r="F197" s="43"/>
      <c r="G197" s="43"/>
      <c r="H197" s="43"/>
      <c r="I197" s="43"/>
      <c r="J197" s="43"/>
      <c r="K197" s="45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8"/>
      <c r="AA197" s="8"/>
    </row>
    <row r="198" spans="1:27" ht="12.75">
      <c r="A198" s="8"/>
      <c r="B198" s="50"/>
      <c r="C198" s="51"/>
      <c r="D198" s="51"/>
      <c r="E198" s="52"/>
      <c r="F198" s="44"/>
      <c r="G198" s="44"/>
      <c r="H198" s="44"/>
      <c r="I198" s="44"/>
      <c r="J198" s="44"/>
      <c r="K198" s="36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8"/>
      <c r="AA198" s="8"/>
    </row>
    <row r="199" spans="1:27" ht="15">
      <c r="A199" s="8"/>
      <c r="B199" s="40"/>
      <c r="C199" s="41"/>
      <c r="D199" s="41"/>
      <c r="E199" s="42"/>
      <c r="F199" s="17" t="s">
        <v>17</v>
      </c>
      <c r="G199" s="18">
        <f>COUNTIF(F197:G198,"✔")</f>
        <v>0</v>
      </c>
      <c r="H199" s="17" t="s">
        <v>18</v>
      </c>
      <c r="I199" s="18">
        <f>COUNTIF(H197:I198,"a")</f>
        <v>0</v>
      </c>
      <c r="J199" s="17" t="s">
        <v>17</v>
      </c>
      <c r="K199" s="18">
        <f>COUNTIF(J197:K198,"✔")</f>
        <v>0</v>
      </c>
      <c r="L199" s="17" t="s">
        <v>18</v>
      </c>
      <c r="M199" s="18">
        <f>COUNTIF(L197:M198,"a")</f>
        <v>0</v>
      </c>
      <c r="N199" s="17" t="s">
        <v>17</v>
      </c>
      <c r="O199" s="18">
        <f>COUNTIF(N197:O198,"✔")</f>
        <v>0</v>
      </c>
      <c r="P199" s="17" t="s">
        <v>18</v>
      </c>
      <c r="Q199" s="18">
        <f>COUNTIF(P197:Q198,"a")</f>
        <v>0</v>
      </c>
      <c r="R199" s="17" t="s">
        <v>17</v>
      </c>
      <c r="S199" s="18">
        <f>COUNTIF(R197:S198,"✔")</f>
        <v>0</v>
      </c>
      <c r="T199" s="17" t="s">
        <v>18</v>
      </c>
      <c r="U199" s="18">
        <f>COUNTIF(T197:U198,"a")</f>
        <v>0</v>
      </c>
      <c r="V199" s="17" t="s">
        <v>17</v>
      </c>
      <c r="W199" s="18">
        <f>COUNTIF(V197:W198,"✔")</f>
        <v>0</v>
      </c>
      <c r="X199" s="17" t="s">
        <v>18</v>
      </c>
      <c r="Y199" s="18">
        <f>COUNTIF(X197:Y198,"a")</f>
        <v>0</v>
      </c>
      <c r="Z199" s="8"/>
      <c r="AA199" s="8"/>
    </row>
    <row r="200" spans="1:27" ht="12.75">
      <c r="A200" s="8"/>
      <c r="B200" s="47" t="s">
        <v>81</v>
      </c>
      <c r="C200" s="48"/>
      <c r="D200" s="48"/>
      <c r="E200" s="49"/>
      <c r="F200" s="43"/>
      <c r="G200" s="43"/>
      <c r="H200" s="43"/>
      <c r="I200" s="43"/>
      <c r="J200" s="43"/>
      <c r="K200" s="45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8"/>
      <c r="AA200" s="8"/>
    </row>
    <row r="201" spans="1:27" ht="12.75">
      <c r="A201" s="8"/>
      <c r="B201" s="50"/>
      <c r="C201" s="51"/>
      <c r="D201" s="51"/>
      <c r="E201" s="52"/>
      <c r="F201" s="44"/>
      <c r="G201" s="44"/>
      <c r="H201" s="44"/>
      <c r="I201" s="44"/>
      <c r="J201" s="44"/>
      <c r="K201" s="36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8"/>
      <c r="AA201" s="8"/>
    </row>
    <row r="202" spans="1:27" ht="15">
      <c r="A202" s="8"/>
      <c r="B202" s="40"/>
      <c r="C202" s="41"/>
      <c r="D202" s="41"/>
      <c r="E202" s="42"/>
      <c r="F202" s="17" t="s">
        <v>17</v>
      </c>
      <c r="G202" s="18">
        <f>COUNTIF(F200:G201,"✔")</f>
        <v>0</v>
      </c>
      <c r="H202" s="17" t="s">
        <v>18</v>
      </c>
      <c r="I202" s="18">
        <f>COUNTIF(H200:I201,"a")</f>
        <v>0</v>
      </c>
      <c r="J202" s="17" t="s">
        <v>17</v>
      </c>
      <c r="K202" s="18">
        <f>COUNTIF(J200:K201,"✔")</f>
        <v>0</v>
      </c>
      <c r="L202" s="17" t="s">
        <v>18</v>
      </c>
      <c r="M202" s="18">
        <f>COUNTIF(L200:M201,"a")</f>
        <v>0</v>
      </c>
      <c r="N202" s="17" t="s">
        <v>17</v>
      </c>
      <c r="O202" s="18">
        <f>COUNTIF(N200:O201,"✔")</f>
        <v>0</v>
      </c>
      <c r="P202" s="17" t="s">
        <v>18</v>
      </c>
      <c r="Q202" s="18">
        <f>COUNTIF(P200:Q201,"a")</f>
        <v>0</v>
      </c>
      <c r="R202" s="17" t="s">
        <v>17</v>
      </c>
      <c r="S202" s="18">
        <f>COUNTIF(R200:S201,"✔")</f>
        <v>0</v>
      </c>
      <c r="T202" s="17" t="s">
        <v>18</v>
      </c>
      <c r="U202" s="18">
        <f>COUNTIF(T200:U201,"a")</f>
        <v>0</v>
      </c>
      <c r="V202" s="17" t="s">
        <v>17</v>
      </c>
      <c r="W202" s="18">
        <f>COUNTIF(V200:W201,"✔")</f>
        <v>0</v>
      </c>
      <c r="X202" s="17" t="s">
        <v>18</v>
      </c>
      <c r="Y202" s="18">
        <f>COUNTIF(X200:Y201,"a")</f>
        <v>0</v>
      </c>
      <c r="Z202" s="8"/>
      <c r="AA202" s="8"/>
    </row>
    <row r="203" spans="1:27" ht="12.75">
      <c r="A203" s="8"/>
      <c r="B203" s="47" t="s">
        <v>82</v>
      </c>
      <c r="C203" s="48"/>
      <c r="D203" s="48"/>
      <c r="E203" s="49"/>
      <c r="F203" s="43"/>
      <c r="G203" s="43"/>
      <c r="H203" s="43"/>
      <c r="I203" s="43"/>
      <c r="J203" s="43"/>
      <c r="K203" s="45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8"/>
      <c r="AA203" s="8"/>
    </row>
    <row r="204" spans="1:27" ht="12.75">
      <c r="A204" s="8"/>
      <c r="B204" s="50"/>
      <c r="C204" s="51"/>
      <c r="D204" s="51"/>
      <c r="E204" s="52"/>
      <c r="F204" s="44"/>
      <c r="G204" s="44"/>
      <c r="H204" s="44"/>
      <c r="I204" s="44"/>
      <c r="J204" s="44"/>
      <c r="K204" s="36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8"/>
      <c r="AA204" s="8"/>
    </row>
    <row r="205" spans="1:27" ht="15">
      <c r="A205" s="8"/>
      <c r="B205" s="40"/>
      <c r="C205" s="41"/>
      <c r="D205" s="41"/>
      <c r="E205" s="42"/>
      <c r="F205" s="17" t="s">
        <v>17</v>
      </c>
      <c r="G205" s="18">
        <f>COUNTIF(F203:G204,"✔")</f>
        <v>0</v>
      </c>
      <c r="H205" s="17" t="s">
        <v>18</v>
      </c>
      <c r="I205" s="18">
        <f>COUNTIF(H203:I204,"a")</f>
        <v>0</v>
      </c>
      <c r="J205" s="17" t="s">
        <v>17</v>
      </c>
      <c r="K205" s="18">
        <f>COUNTIF(J203:K204,"✔")</f>
        <v>0</v>
      </c>
      <c r="L205" s="17" t="s">
        <v>18</v>
      </c>
      <c r="M205" s="18">
        <f>COUNTIF(L203:M204,"a")</f>
        <v>0</v>
      </c>
      <c r="N205" s="17" t="s">
        <v>17</v>
      </c>
      <c r="O205" s="18">
        <f>COUNTIF(N203:O204,"✔")</f>
        <v>0</v>
      </c>
      <c r="P205" s="17" t="s">
        <v>18</v>
      </c>
      <c r="Q205" s="18">
        <f>COUNTIF(P203:Q204,"a")</f>
        <v>0</v>
      </c>
      <c r="R205" s="17" t="s">
        <v>17</v>
      </c>
      <c r="S205" s="18">
        <f>COUNTIF(R203:S204,"✔")</f>
        <v>0</v>
      </c>
      <c r="T205" s="17" t="s">
        <v>18</v>
      </c>
      <c r="U205" s="18">
        <f>COUNTIF(T203:U204,"a")</f>
        <v>0</v>
      </c>
      <c r="V205" s="17" t="s">
        <v>17</v>
      </c>
      <c r="W205" s="18">
        <f>COUNTIF(V203:W204,"✔")</f>
        <v>0</v>
      </c>
      <c r="X205" s="17" t="s">
        <v>18</v>
      </c>
      <c r="Y205" s="18">
        <f>COUNTIF(X203:Y204,"a")</f>
        <v>0</v>
      </c>
      <c r="Z205" s="8"/>
      <c r="AA205" s="8"/>
    </row>
    <row r="206" spans="1:27" ht="12.75">
      <c r="A206" s="8"/>
      <c r="B206" s="47" t="s">
        <v>83</v>
      </c>
      <c r="C206" s="48"/>
      <c r="D206" s="48"/>
      <c r="E206" s="49"/>
      <c r="F206" s="43"/>
      <c r="G206" s="43"/>
      <c r="H206" s="43"/>
      <c r="I206" s="43"/>
      <c r="J206" s="43"/>
      <c r="K206" s="45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8"/>
      <c r="AA206" s="8"/>
    </row>
    <row r="207" spans="1:27" ht="12.75">
      <c r="A207" s="8"/>
      <c r="B207" s="50"/>
      <c r="C207" s="51"/>
      <c r="D207" s="51"/>
      <c r="E207" s="52"/>
      <c r="F207" s="44"/>
      <c r="G207" s="44"/>
      <c r="H207" s="44"/>
      <c r="I207" s="44"/>
      <c r="J207" s="44"/>
      <c r="K207" s="36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8"/>
      <c r="AA207" s="8"/>
    </row>
    <row r="208" spans="1:27" ht="15">
      <c r="A208" s="8"/>
      <c r="B208" s="40"/>
      <c r="C208" s="41"/>
      <c r="D208" s="41"/>
      <c r="E208" s="42"/>
      <c r="F208" s="17" t="s">
        <v>17</v>
      </c>
      <c r="G208" s="18">
        <f>COUNTIF(F206:G207,"✔")</f>
        <v>0</v>
      </c>
      <c r="H208" s="17" t="s">
        <v>18</v>
      </c>
      <c r="I208" s="18">
        <f>COUNTIF(H206:I207,"a")</f>
        <v>0</v>
      </c>
      <c r="J208" s="17" t="s">
        <v>17</v>
      </c>
      <c r="K208" s="18">
        <f>COUNTIF(J206:K207,"✔")</f>
        <v>0</v>
      </c>
      <c r="L208" s="17" t="s">
        <v>18</v>
      </c>
      <c r="M208" s="18">
        <f>COUNTIF(L206:M207,"a")</f>
        <v>0</v>
      </c>
      <c r="N208" s="17" t="s">
        <v>17</v>
      </c>
      <c r="O208" s="18">
        <f>COUNTIF(N206:O207,"✔")</f>
        <v>0</v>
      </c>
      <c r="P208" s="17" t="s">
        <v>18</v>
      </c>
      <c r="Q208" s="18">
        <f>COUNTIF(P206:Q207,"a")</f>
        <v>0</v>
      </c>
      <c r="R208" s="17" t="s">
        <v>17</v>
      </c>
      <c r="S208" s="18">
        <f>COUNTIF(R206:S207,"✔")</f>
        <v>0</v>
      </c>
      <c r="T208" s="17" t="s">
        <v>18</v>
      </c>
      <c r="U208" s="18">
        <f>COUNTIF(T206:U207,"a")</f>
        <v>0</v>
      </c>
      <c r="V208" s="17" t="s">
        <v>17</v>
      </c>
      <c r="W208" s="18">
        <f>COUNTIF(V206:W207,"✔")</f>
        <v>0</v>
      </c>
      <c r="X208" s="17" t="s">
        <v>18</v>
      </c>
      <c r="Y208" s="18">
        <f>COUNTIF(X206:Y207,"a")</f>
        <v>0</v>
      </c>
      <c r="Z208" s="8"/>
      <c r="AA208" s="8"/>
    </row>
    <row r="209" spans="1:27" ht="12.75">
      <c r="A209" s="8"/>
      <c r="B209" s="47" t="s">
        <v>84</v>
      </c>
      <c r="C209" s="48"/>
      <c r="D209" s="48"/>
      <c r="E209" s="49"/>
      <c r="F209" s="43"/>
      <c r="G209" s="43"/>
      <c r="H209" s="43"/>
      <c r="I209" s="43"/>
      <c r="J209" s="43"/>
      <c r="K209" s="45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8"/>
      <c r="AA209" s="8"/>
    </row>
    <row r="210" spans="1:27" ht="12.75">
      <c r="A210" s="8"/>
      <c r="B210" s="50"/>
      <c r="C210" s="51"/>
      <c r="D210" s="51"/>
      <c r="E210" s="52"/>
      <c r="F210" s="44"/>
      <c r="G210" s="44"/>
      <c r="H210" s="44"/>
      <c r="I210" s="44"/>
      <c r="J210" s="44"/>
      <c r="K210" s="36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8"/>
      <c r="AA210" s="8"/>
    </row>
    <row r="211" spans="1:27" ht="15">
      <c r="A211" s="8"/>
      <c r="B211" s="40"/>
      <c r="C211" s="41"/>
      <c r="D211" s="41"/>
      <c r="E211" s="42"/>
      <c r="F211" s="17" t="s">
        <v>17</v>
      </c>
      <c r="G211" s="18">
        <f>COUNTIF(F209:G210,"✔")</f>
        <v>0</v>
      </c>
      <c r="H211" s="17" t="s">
        <v>18</v>
      </c>
      <c r="I211" s="18">
        <f>COUNTIF(H209:I210,"a")</f>
        <v>0</v>
      </c>
      <c r="J211" s="17" t="s">
        <v>17</v>
      </c>
      <c r="K211" s="18">
        <f>COUNTIF(J209:K210,"✔")</f>
        <v>0</v>
      </c>
      <c r="L211" s="17" t="s">
        <v>18</v>
      </c>
      <c r="M211" s="18">
        <f>COUNTIF(L209:M210,"a")</f>
        <v>0</v>
      </c>
      <c r="N211" s="17" t="s">
        <v>17</v>
      </c>
      <c r="O211" s="18">
        <f>COUNTIF(N209:O210,"✔")</f>
        <v>0</v>
      </c>
      <c r="P211" s="17" t="s">
        <v>18</v>
      </c>
      <c r="Q211" s="18">
        <f>COUNTIF(P209:Q210,"a")</f>
        <v>0</v>
      </c>
      <c r="R211" s="17" t="s">
        <v>17</v>
      </c>
      <c r="S211" s="18">
        <f>COUNTIF(R209:S210,"✔")</f>
        <v>0</v>
      </c>
      <c r="T211" s="17" t="s">
        <v>18</v>
      </c>
      <c r="U211" s="18">
        <f>COUNTIF(T209:U210,"a")</f>
        <v>0</v>
      </c>
      <c r="V211" s="17" t="s">
        <v>17</v>
      </c>
      <c r="W211" s="18">
        <f>COUNTIF(V209:W210,"✔")</f>
        <v>0</v>
      </c>
      <c r="X211" s="17" t="s">
        <v>18</v>
      </c>
      <c r="Y211" s="18">
        <f>COUNTIF(X209:Y210,"a")</f>
        <v>0</v>
      </c>
      <c r="Z211" s="8"/>
      <c r="AA211" s="8"/>
    </row>
    <row r="212" spans="1:27" ht="12.75">
      <c r="A212" s="8"/>
      <c r="B212" s="47" t="s">
        <v>85</v>
      </c>
      <c r="C212" s="48"/>
      <c r="D212" s="48"/>
      <c r="E212" s="49"/>
      <c r="F212" s="43"/>
      <c r="G212" s="43"/>
      <c r="H212" s="43"/>
      <c r="I212" s="43"/>
      <c r="J212" s="43"/>
      <c r="K212" s="45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8"/>
      <c r="AA212" s="8"/>
    </row>
    <row r="213" spans="1:27" ht="12.75">
      <c r="A213" s="8"/>
      <c r="B213" s="50"/>
      <c r="C213" s="51"/>
      <c r="D213" s="51"/>
      <c r="E213" s="52"/>
      <c r="F213" s="44"/>
      <c r="G213" s="44"/>
      <c r="H213" s="44"/>
      <c r="I213" s="44"/>
      <c r="J213" s="44"/>
      <c r="K213" s="36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8"/>
      <c r="AA213" s="8"/>
    </row>
    <row r="214" spans="1:27" ht="15">
      <c r="A214" s="8"/>
      <c r="B214" s="40"/>
      <c r="C214" s="41"/>
      <c r="D214" s="41"/>
      <c r="E214" s="42"/>
      <c r="F214" s="17" t="s">
        <v>17</v>
      </c>
      <c r="G214" s="18">
        <f>COUNTIF(F212:G213,"✔")</f>
        <v>0</v>
      </c>
      <c r="H214" s="17" t="s">
        <v>18</v>
      </c>
      <c r="I214" s="18">
        <f>COUNTIF(H212:I213,"a")</f>
        <v>0</v>
      </c>
      <c r="J214" s="17" t="s">
        <v>17</v>
      </c>
      <c r="K214" s="18">
        <f>COUNTIF(J212:K213,"✔")</f>
        <v>0</v>
      </c>
      <c r="L214" s="17" t="s">
        <v>18</v>
      </c>
      <c r="M214" s="18">
        <f>COUNTIF(L212:M213,"a")</f>
        <v>0</v>
      </c>
      <c r="N214" s="17" t="s">
        <v>17</v>
      </c>
      <c r="O214" s="18">
        <f>COUNTIF(N212:O213,"✔")</f>
        <v>0</v>
      </c>
      <c r="P214" s="17" t="s">
        <v>18</v>
      </c>
      <c r="Q214" s="18">
        <f>COUNTIF(P212:Q213,"a")</f>
        <v>0</v>
      </c>
      <c r="R214" s="17" t="s">
        <v>17</v>
      </c>
      <c r="S214" s="18">
        <f>COUNTIF(R212:S213,"✔")</f>
        <v>0</v>
      </c>
      <c r="T214" s="17" t="s">
        <v>18</v>
      </c>
      <c r="U214" s="18">
        <f>COUNTIF(T212:U213,"a")</f>
        <v>0</v>
      </c>
      <c r="V214" s="17" t="s">
        <v>17</v>
      </c>
      <c r="W214" s="18">
        <f>COUNTIF(V212:W213,"✔")</f>
        <v>0</v>
      </c>
      <c r="X214" s="17" t="s">
        <v>18</v>
      </c>
      <c r="Y214" s="18">
        <f>COUNTIF(X212:Y213,"a")</f>
        <v>0</v>
      </c>
      <c r="Z214" s="8"/>
      <c r="AA214" s="8"/>
    </row>
    <row r="215" spans="1:27" ht="12.75">
      <c r="A215" s="8"/>
      <c r="B215" s="47" t="s">
        <v>86</v>
      </c>
      <c r="C215" s="48"/>
      <c r="D215" s="48"/>
      <c r="E215" s="49"/>
      <c r="F215" s="43"/>
      <c r="G215" s="43"/>
      <c r="H215" s="43"/>
      <c r="I215" s="43"/>
      <c r="J215" s="43"/>
      <c r="K215" s="45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8"/>
      <c r="AA215" s="8"/>
    </row>
    <row r="216" spans="1:27" ht="12.75">
      <c r="A216" s="8"/>
      <c r="B216" s="50"/>
      <c r="C216" s="51"/>
      <c r="D216" s="51"/>
      <c r="E216" s="52"/>
      <c r="F216" s="44"/>
      <c r="G216" s="44"/>
      <c r="H216" s="44"/>
      <c r="I216" s="44"/>
      <c r="J216" s="44"/>
      <c r="K216" s="36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8"/>
      <c r="AA216" s="8"/>
    </row>
    <row r="217" spans="1:27" ht="15">
      <c r="A217" s="8"/>
      <c r="B217" s="40"/>
      <c r="C217" s="41"/>
      <c r="D217" s="41"/>
      <c r="E217" s="42"/>
      <c r="F217" s="17" t="s">
        <v>17</v>
      </c>
      <c r="G217" s="18">
        <f>COUNTIF(F215:G216,"✔")</f>
        <v>0</v>
      </c>
      <c r="H217" s="17" t="s">
        <v>18</v>
      </c>
      <c r="I217" s="18">
        <f>COUNTIF(H215:I216,"a")</f>
        <v>0</v>
      </c>
      <c r="J217" s="17" t="s">
        <v>17</v>
      </c>
      <c r="K217" s="18">
        <f>COUNTIF(J215:K216,"✔")</f>
        <v>0</v>
      </c>
      <c r="L217" s="17" t="s">
        <v>18</v>
      </c>
      <c r="M217" s="18">
        <f>COUNTIF(L215:M216,"a")</f>
        <v>0</v>
      </c>
      <c r="N217" s="17" t="s">
        <v>17</v>
      </c>
      <c r="O217" s="18">
        <f>COUNTIF(N215:O216,"✔")</f>
        <v>0</v>
      </c>
      <c r="P217" s="17" t="s">
        <v>18</v>
      </c>
      <c r="Q217" s="18">
        <f>COUNTIF(P215:Q216,"a")</f>
        <v>0</v>
      </c>
      <c r="R217" s="17" t="s">
        <v>17</v>
      </c>
      <c r="S217" s="18">
        <f>COUNTIF(R215:S216,"✔")</f>
        <v>0</v>
      </c>
      <c r="T217" s="17" t="s">
        <v>18</v>
      </c>
      <c r="U217" s="18">
        <f>COUNTIF(T215:U216,"a")</f>
        <v>0</v>
      </c>
      <c r="V217" s="17" t="s">
        <v>17</v>
      </c>
      <c r="W217" s="18">
        <f>COUNTIF(V215:W216,"✔")</f>
        <v>0</v>
      </c>
      <c r="X217" s="17" t="s">
        <v>18</v>
      </c>
      <c r="Y217" s="18">
        <f>COUNTIF(X215:Y216,"a")</f>
        <v>0</v>
      </c>
      <c r="Z217" s="8"/>
      <c r="AA217" s="8"/>
    </row>
    <row r="218" spans="1:27" ht="12.75">
      <c r="A218" s="8"/>
      <c r="B218" s="47" t="s">
        <v>87</v>
      </c>
      <c r="C218" s="48"/>
      <c r="D218" s="48"/>
      <c r="E218" s="49"/>
      <c r="F218" s="43"/>
      <c r="G218" s="43"/>
      <c r="H218" s="43"/>
      <c r="I218" s="43"/>
      <c r="J218" s="43"/>
      <c r="K218" s="45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8"/>
      <c r="AA218" s="8"/>
    </row>
    <row r="219" spans="1:27" ht="12.75">
      <c r="A219" s="8"/>
      <c r="B219" s="50"/>
      <c r="C219" s="51"/>
      <c r="D219" s="51"/>
      <c r="E219" s="52"/>
      <c r="F219" s="44"/>
      <c r="G219" s="44"/>
      <c r="H219" s="44"/>
      <c r="I219" s="44"/>
      <c r="J219" s="44"/>
      <c r="K219" s="36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8"/>
      <c r="AA219" s="8"/>
    </row>
    <row r="220" spans="1:27" ht="15">
      <c r="A220" s="8"/>
      <c r="B220" s="40"/>
      <c r="C220" s="41"/>
      <c r="D220" s="41"/>
      <c r="E220" s="42"/>
      <c r="F220" s="17" t="s">
        <v>17</v>
      </c>
      <c r="G220" s="18">
        <f>COUNTIF(F218:G219,"✔")</f>
        <v>0</v>
      </c>
      <c r="H220" s="17" t="s">
        <v>18</v>
      </c>
      <c r="I220" s="18">
        <f>COUNTIF(H218:I219,"a")</f>
        <v>0</v>
      </c>
      <c r="J220" s="17" t="s">
        <v>17</v>
      </c>
      <c r="K220" s="18">
        <f>COUNTIF(J218:K219,"✔")</f>
        <v>0</v>
      </c>
      <c r="L220" s="17" t="s">
        <v>18</v>
      </c>
      <c r="M220" s="18">
        <f>COUNTIF(L218:M219,"a")</f>
        <v>0</v>
      </c>
      <c r="N220" s="17" t="s">
        <v>17</v>
      </c>
      <c r="O220" s="18">
        <f>COUNTIF(N218:O219,"✔")</f>
        <v>0</v>
      </c>
      <c r="P220" s="17" t="s">
        <v>18</v>
      </c>
      <c r="Q220" s="18">
        <f>COUNTIF(P218:Q219,"a")</f>
        <v>0</v>
      </c>
      <c r="R220" s="17" t="s">
        <v>17</v>
      </c>
      <c r="S220" s="18">
        <f>COUNTIF(R218:S219,"✔")</f>
        <v>0</v>
      </c>
      <c r="T220" s="17" t="s">
        <v>18</v>
      </c>
      <c r="U220" s="18">
        <f>COUNTIF(T218:U219,"a")</f>
        <v>0</v>
      </c>
      <c r="V220" s="17" t="s">
        <v>17</v>
      </c>
      <c r="W220" s="18">
        <f>COUNTIF(V218:W219,"✔")</f>
        <v>0</v>
      </c>
      <c r="X220" s="17" t="s">
        <v>18</v>
      </c>
      <c r="Y220" s="18">
        <f>COUNTIF(X218:Y219,"a")</f>
        <v>0</v>
      </c>
      <c r="Z220" s="8"/>
      <c r="AA220" s="8"/>
    </row>
    <row r="221" spans="1:27" ht="12.75">
      <c r="A221" s="8"/>
      <c r="B221" s="47" t="s">
        <v>88</v>
      </c>
      <c r="C221" s="48"/>
      <c r="D221" s="48"/>
      <c r="E221" s="49"/>
      <c r="F221" s="43"/>
      <c r="G221" s="43"/>
      <c r="H221" s="43"/>
      <c r="I221" s="43"/>
      <c r="J221" s="43"/>
      <c r="K221" s="45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8"/>
      <c r="AA221" s="8"/>
    </row>
    <row r="222" spans="1:27" ht="12.75">
      <c r="A222" s="8"/>
      <c r="B222" s="50"/>
      <c r="C222" s="51"/>
      <c r="D222" s="51"/>
      <c r="E222" s="52"/>
      <c r="F222" s="44"/>
      <c r="G222" s="44"/>
      <c r="H222" s="44"/>
      <c r="I222" s="44"/>
      <c r="J222" s="44"/>
      <c r="K222" s="36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8"/>
      <c r="AA222" s="8"/>
    </row>
    <row r="223" spans="1:27" ht="15">
      <c r="A223" s="8"/>
      <c r="B223" s="40"/>
      <c r="C223" s="41"/>
      <c r="D223" s="41"/>
      <c r="E223" s="42"/>
      <c r="F223" s="17" t="s">
        <v>17</v>
      </c>
      <c r="G223" s="18">
        <f>COUNTIF(F221:G222,"✔")</f>
        <v>0</v>
      </c>
      <c r="H223" s="17" t="s">
        <v>18</v>
      </c>
      <c r="I223" s="18">
        <f>COUNTIF(H221:I222,"a")</f>
        <v>0</v>
      </c>
      <c r="J223" s="17" t="s">
        <v>17</v>
      </c>
      <c r="K223" s="18">
        <f>COUNTIF(J221:K222,"✔")</f>
        <v>0</v>
      </c>
      <c r="L223" s="17" t="s">
        <v>18</v>
      </c>
      <c r="M223" s="18">
        <f>COUNTIF(L221:M222,"a")</f>
        <v>0</v>
      </c>
      <c r="N223" s="17" t="s">
        <v>17</v>
      </c>
      <c r="O223" s="18">
        <f>COUNTIF(N221:O222,"✔")</f>
        <v>0</v>
      </c>
      <c r="P223" s="17" t="s">
        <v>18</v>
      </c>
      <c r="Q223" s="18">
        <f>COUNTIF(P221:Q222,"a")</f>
        <v>0</v>
      </c>
      <c r="R223" s="17" t="s">
        <v>17</v>
      </c>
      <c r="S223" s="18">
        <f>COUNTIF(R221:S222,"✔")</f>
        <v>0</v>
      </c>
      <c r="T223" s="17" t="s">
        <v>18</v>
      </c>
      <c r="U223" s="18">
        <f>COUNTIF(T221:U222,"a")</f>
        <v>0</v>
      </c>
      <c r="V223" s="17" t="s">
        <v>17</v>
      </c>
      <c r="W223" s="18">
        <f>COUNTIF(V221:W222,"✔")</f>
        <v>0</v>
      </c>
      <c r="X223" s="17" t="s">
        <v>18</v>
      </c>
      <c r="Y223" s="18">
        <f>COUNTIF(X221:Y222,"a")</f>
        <v>0</v>
      </c>
      <c r="Z223" s="8"/>
      <c r="AA223" s="8"/>
    </row>
    <row r="224" spans="1:27" ht="12.75">
      <c r="A224" s="8"/>
      <c r="B224" s="47" t="s">
        <v>89</v>
      </c>
      <c r="C224" s="48"/>
      <c r="D224" s="48"/>
      <c r="E224" s="49"/>
      <c r="F224" s="43"/>
      <c r="G224" s="43"/>
      <c r="H224" s="43"/>
      <c r="I224" s="43"/>
      <c r="J224" s="43"/>
      <c r="K224" s="45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8"/>
      <c r="AA224" s="8"/>
    </row>
    <row r="225" spans="1:27" ht="12.75">
      <c r="A225" s="8"/>
      <c r="B225" s="50"/>
      <c r="C225" s="51"/>
      <c r="D225" s="51"/>
      <c r="E225" s="52"/>
      <c r="F225" s="44"/>
      <c r="G225" s="44"/>
      <c r="H225" s="44"/>
      <c r="I225" s="44"/>
      <c r="J225" s="44"/>
      <c r="K225" s="36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8"/>
      <c r="AA225" s="8"/>
    </row>
    <row r="226" spans="1:27" ht="15">
      <c r="A226" s="8"/>
      <c r="B226" s="40"/>
      <c r="C226" s="41"/>
      <c r="D226" s="41"/>
      <c r="E226" s="42"/>
      <c r="F226" s="17" t="s">
        <v>17</v>
      </c>
      <c r="G226" s="18">
        <f>COUNTIF(F224:G225,"✔")</f>
        <v>0</v>
      </c>
      <c r="H226" s="17" t="s">
        <v>18</v>
      </c>
      <c r="I226" s="18">
        <f>COUNTIF(H224:I225,"a")</f>
        <v>0</v>
      </c>
      <c r="J226" s="17" t="s">
        <v>17</v>
      </c>
      <c r="K226" s="18">
        <f>COUNTIF(J224:K225,"✔")</f>
        <v>0</v>
      </c>
      <c r="L226" s="17" t="s">
        <v>18</v>
      </c>
      <c r="M226" s="18">
        <f>COUNTIF(L224:M225,"a")</f>
        <v>0</v>
      </c>
      <c r="N226" s="17" t="s">
        <v>17</v>
      </c>
      <c r="O226" s="18">
        <f>COUNTIF(N224:O225,"✔")</f>
        <v>0</v>
      </c>
      <c r="P226" s="17" t="s">
        <v>18</v>
      </c>
      <c r="Q226" s="18">
        <f>COUNTIF(P224:Q225,"a")</f>
        <v>0</v>
      </c>
      <c r="R226" s="17" t="s">
        <v>17</v>
      </c>
      <c r="S226" s="18">
        <f>COUNTIF(R224:S225,"✔")</f>
        <v>0</v>
      </c>
      <c r="T226" s="17" t="s">
        <v>18</v>
      </c>
      <c r="U226" s="18">
        <f>COUNTIF(T224:U225,"a")</f>
        <v>0</v>
      </c>
      <c r="V226" s="17" t="s">
        <v>17</v>
      </c>
      <c r="W226" s="18">
        <f>COUNTIF(V224:W225,"✔")</f>
        <v>0</v>
      </c>
      <c r="X226" s="17" t="s">
        <v>18</v>
      </c>
      <c r="Y226" s="18">
        <f>COUNTIF(X224:Y225,"a")</f>
        <v>0</v>
      </c>
      <c r="Z226" s="8"/>
      <c r="AA226" s="8"/>
    </row>
    <row r="227" spans="1:27" ht="12.75">
      <c r="A227" s="8"/>
      <c r="B227" s="47" t="s">
        <v>90</v>
      </c>
      <c r="C227" s="48"/>
      <c r="D227" s="48"/>
      <c r="E227" s="49"/>
      <c r="F227" s="43"/>
      <c r="G227" s="43"/>
      <c r="H227" s="43"/>
      <c r="I227" s="43"/>
      <c r="J227" s="43"/>
      <c r="K227" s="45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8"/>
      <c r="AA227" s="8"/>
    </row>
    <row r="228" spans="1:27" ht="12.75">
      <c r="A228" s="8"/>
      <c r="B228" s="50"/>
      <c r="C228" s="51"/>
      <c r="D228" s="51"/>
      <c r="E228" s="52"/>
      <c r="F228" s="44"/>
      <c r="G228" s="44"/>
      <c r="H228" s="44"/>
      <c r="I228" s="44"/>
      <c r="J228" s="44"/>
      <c r="K228" s="36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8"/>
      <c r="AA228" s="8"/>
    </row>
    <row r="229" spans="1:27" ht="15">
      <c r="A229" s="8"/>
      <c r="B229" s="40"/>
      <c r="C229" s="41"/>
      <c r="D229" s="41"/>
      <c r="E229" s="42"/>
      <c r="F229" s="17" t="s">
        <v>17</v>
      </c>
      <c r="G229" s="18">
        <f>COUNTIF(F227:G228,"✔")</f>
        <v>0</v>
      </c>
      <c r="H229" s="17" t="s">
        <v>18</v>
      </c>
      <c r="I229" s="18">
        <f>COUNTIF(H227:I228,"a")</f>
        <v>0</v>
      </c>
      <c r="J229" s="17" t="s">
        <v>17</v>
      </c>
      <c r="K229" s="18">
        <f>COUNTIF(J227:K228,"✔")</f>
        <v>0</v>
      </c>
      <c r="L229" s="17" t="s">
        <v>18</v>
      </c>
      <c r="M229" s="18">
        <f>COUNTIF(L227:M228,"a")</f>
        <v>0</v>
      </c>
      <c r="N229" s="17" t="s">
        <v>17</v>
      </c>
      <c r="O229" s="18">
        <f>COUNTIF(N227:O228,"✔")</f>
        <v>0</v>
      </c>
      <c r="P229" s="17" t="s">
        <v>18</v>
      </c>
      <c r="Q229" s="18">
        <f>COUNTIF(P227:Q228,"a")</f>
        <v>0</v>
      </c>
      <c r="R229" s="17" t="s">
        <v>17</v>
      </c>
      <c r="S229" s="18">
        <f>COUNTIF(R227:S228,"✔")</f>
        <v>0</v>
      </c>
      <c r="T229" s="17" t="s">
        <v>18</v>
      </c>
      <c r="U229" s="18">
        <f>COUNTIF(T227:U228,"a")</f>
        <v>0</v>
      </c>
      <c r="V229" s="17" t="s">
        <v>17</v>
      </c>
      <c r="W229" s="18">
        <f>COUNTIF(V227:W228,"✔")</f>
        <v>0</v>
      </c>
      <c r="X229" s="17" t="s">
        <v>18</v>
      </c>
      <c r="Y229" s="18">
        <f>COUNTIF(X227:Y228,"a")</f>
        <v>0</v>
      </c>
      <c r="Z229" s="8"/>
      <c r="AA229" s="8"/>
    </row>
    <row r="230" spans="1:27" ht="12.75">
      <c r="A230" s="8"/>
      <c r="B230" s="47" t="s">
        <v>91</v>
      </c>
      <c r="C230" s="48"/>
      <c r="D230" s="48"/>
      <c r="E230" s="49"/>
      <c r="F230" s="43"/>
      <c r="G230" s="43"/>
      <c r="H230" s="43"/>
      <c r="I230" s="43"/>
      <c r="J230" s="43"/>
      <c r="K230" s="45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8"/>
      <c r="AA230" s="8"/>
    </row>
    <row r="231" spans="1:27" ht="12.75">
      <c r="A231" s="8"/>
      <c r="B231" s="50"/>
      <c r="C231" s="51"/>
      <c r="D231" s="51"/>
      <c r="E231" s="52"/>
      <c r="F231" s="44"/>
      <c r="G231" s="44"/>
      <c r="H231" s="44"/>
      <c r="I231" s="44"/>
      <c r="J231" s="44"/>
      <c r="K231" s="36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8"/>
      <c r="AA231" s="8"/>
    </row>
    <row r="232" spans="1:27" ht="15">
      <c r="A232" s="8"/>
      <c r="B232" s="40"/>
      <c r="C232" s="41"/>
      <c r="D232" s="41"/>
      <c r="E232" s="42"/>
      <c r="F232" s="17" t="s">
        <v>17</v>
      </c>
      <c r="G232" s="18">
        <f>COUNTIF(F230:G231,"✔")</f>
        <v>0</v>
      </c>
      <c r="H232" s="17" t="s">
        <v>18</v>
      </c>
      <c r="I232" s="18">
        <f>COUNTIF(H230:I231,"a")</f>
        <v>0</v>
      </c>
      <c r="J232" s="17" t="s">
        <v>17</v>
      </c>
      <c r="K232" s="18">
        <f>COUNTIF(J230:K231,"✔")</f>
        <v>0</v>
      </c>
      <c r="L232" s="17" t="s">
        <v>18</v>
      </c>
      <c r="M232" s="18">
        <f>COUNTIF(L230:M231,"a")</f>
        <v>0</v>
      </c>
      <c r="N232" s="17" t="s">
        <v>17</v>
      </c>
      <c r="O232" s="18">
        <f>COUNTIF(N230:O231,"✔")</f>
        <v>0</v>
      </c>
      <c r="P232" s="17" t="s">
        <v>18</v>
      </c>
      <c r="Q232" s="18">
        <f>COUNTIF(P230:Q231,"a")</f>
        <v>0</v>
      </c>
      <c r="R232" s="17" t="s">
        <v>17</v>
      </c>
      <c r="S232" s="18">
        <f>COUNTIF(R230:S231,"✔")</f>
        <v>0</v>
      </c>
      <c r="T232" s="17" t="s">
        <v>18</v>
      </c>
      <c r="U232" s="18">
        <f>COUNTIF(T230:U231,"a")</f>
        <v>0</v>
      </c>
      <c r="V232" s="17" t="s">
        <v>17</v>
      </c>
      <c r="W232" s="18">
        <f>COUNTIF(V230:W231,"✔")</f>
        <v>0</v>
      </c>
      <c r="X232" s="17" t="s">
        <v>18</v>
      </c>
      <c r="Y232" s="18">
        <f>COUNTIF(X230:Y231,"a")</f>
        <v>0</v>
      </c>
      <c r="Z232" s="8"/>
      <c r="AA232" s="8"/>
    </row>
    <row r="233" spans="1:27" ht="12.75">
      <c r="A233" s="8"/>
      <c r="B233" s="47" t="s">
        <v>92</v>
      </c>
      <c r="C233" s="48"/>
      <c r="D233" s="48"/>
      <c r="E233" s="49"/>
      <c r="F233" s="43"/>
      <c r="G233" s="43"/>
      <c r="H233" s="43"/>
      <c r="I233" s="43"/>
      <c r="J233" s="43"/>
      <c r="K233" s="45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8"/>
      <c r="AA233" s="8"/>
    </row>
    <row r="234" spans="1:27" ht="12.75">
      <c r="A234" s="8"/>
      <c r="B234" s="50"/>
      <c r="C234" s="51"/>
      <c r="D234" s="51"/>
      <c r="E234" s="52"/>
      <c r="F234" s="44"/>
      <c r="G234" s="44"/>
      <c r="H234" s="44"/>
      <c r="I234" s="44"/>
      <c r="J234" s="44"/>
      <c r="K234" s="36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8"/>
      <c r="AA234" s="8"/>
    </row>
    <row r="235" spans="1:27" ht="15">
      <c r="A235" s="8"/>
      <c r="B235" s="40"/>
      <c r="C235" s="41"/>
      <c r="D235" s="41"/>
      <c r="E235" s="42"/>
      <c r="F235" s="17" t="s">
        <v>17</v>
      </c>
      <c r="G235" s="18">
        <f>COUNTIF(F233:G234,"✔")</f>
        <v>0</v>
      </c>
      <c r="H235" s="17" t="s">
        <v>18</v>
      </c>
      <c r="I235" s="18">
        <f>COUNTIF(H233:I234,"a")</f>
        <v>0</v>
      </c>
      <c r="J235" s="17" t="s">
        <v>17</v>
      </c>
      <c r="K235" s="18">
        <f>COUNTIF(J233:K234,"✔")</f>
        <v>0</v>
      </c>
      <c r="L235" s="17" t="s">
        <v>18</v>
      </c>
      <c r="M235" s="18">
        <f>COUNTIF(L233:M234,"a")</f>
        <v>0</v>
      </c>
      <c r="N235" s="17" t="s">
        <v>17</v>
      </c>
      <c r="O235" s="18">
        <f>COUNTIF(N233:O234,"✔")</f>
        <v>0</v>
      </c>
      <c r="P235" s="17" t="s">
        <v>18</v>
      </c>
      <c r="Q235" s="18">
        <f>COUNTIF(P233:Q234,"a")</f>
        <v>0</v>
      </c>
      <c r="R235" s="17" t="s">
        <v>17</v>
      </c>
      <c r="S235" s="18">
        <f>COUNTIF(R233:S234,"✔")</f>
        <v>0</v>
      </c>
      <c r="T235" s="17" t="s">
        <v>18</v>
      </c>
      <c r="U235" s="18">
        <f>COUNTIF(T233:U234,"a")</f>
        <v>0</v>
      </c>
      <c r="V235" s="17" t="s">
        <v>17</v>
      </c>
      <c r="W235" s="18">
        <f>COUNTIF(V233:W234,"✔")</f>
        <v>0</v>
      </c>
      <c r="X235" s="17" t="s">
        <v>18</v>
      </c>
      <c r="Y235" s="18">
        <f>COUNTIF(X233:Y234,"a")</f>
        <v>0</v>
      </c>
      <c r="Z235" s="8"/>
      <c r="AA235" s="8"/>
    </row>
    <row r="236" spans="1:27" ht="12.75">
      <c r="A236" s="8"/>
      <c r="B236" s="47" t="s">
        <v>93</v>
      </c>
      <c r="C236" s="48"/>
      <c r="D236" s="48"/>
      <c r="E236" s="49"/>
      <c r="F236" s="43"/>
      <c r="G236" s="43"/>
      <c r="H236" s="43"/>
      <c r="I236" s="43"/>
      <c r="J236" s="43"/>
      <c r="K236" s="45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8"/>
      <c r="AA236" s="8"/>
    </row>
    <row r="237" spans="1:27" ht="12.75">
      <c r="A237" s="8"/>
      <c r="B237" s="50"/>
      <c r="C237" s="51"/>
      <c r="D237" s="51"/>
      <c r="E237" s="52"/>
      <c r="F237" s="44"/>
      <c r="G237" s="44"/>
      <c r="H237" s="44"/>
      <c r="I237" s="44"/>
      <c r="J237" s="44"/>
      <c r="K237" s="36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8"/>
      <c r="AA237" s="8"/>
    </row>
    <row r="238" spans="1:27" ht="15">
      <c r="A238" s="8"/>
      <c r="B238" s="40"/>
      <c r="C238" s="41"/>
      <c r="D238" s="41"/>
      <c r="E238" s="42"/>
      <c r="F238" s="17" t="s">
        <v>17</v>
      </c>
      <c r="G238" s="18">
        <f>COUNTIF(F236:G237,"✔")</f>
        <v>0</v>
      </c>
      <c r="H238" s="17" t="s">
        <v>18</v>
      </c>
      <c r="I238" s="18">
        <f>COUNTIF(H236:I237,"a")</f>
        <v>0</v>
      </c>
      <c r="J238" s="17" t="s">
        <v>17</v>
      </c>
      <c r="K238" s="18">
        <f>COUNTIF(J236:K237,"✔")</f>
        <v>0</v>
      </c>
      <c r="L238" s="17" t="s">
        <v>18</v>
      </c>
      <c r="M238" s="18">
        <f>COUNTIF(L236:M237,"a")</f>
        <v>0</v>
      </c>
      <c r="N238" s="17" t="s">
        <v>17</v>
      </c>
      <c r="O238" s="18">
        <f>COUNTIF(N236:O237,"✔")</f>
        <v>0</v>
      </c>
      <c r="P238" s="17" t="s">
        <v>18</v>
      </c>
      <c r="Q238" s="18">
        <f>COUNTIF(P236:Q237,"a")</f>
        <v>0</v>
      </c>
      <c r="R238" s="17" t="s">
        <v>17</v>
      </c>
      <c r="S238" s="18">
        <f>COUNTIF(R236:S237,"✔")</f>
        <v>0</v>
      </c>
      <c r="T238" s="17" t="s">
        <v>18</v>
      </c>
      <c r="U238" s="18">
        <f>COUNTIF(T236:U237,"a")</f>
        <v>0</v>
      </c>
      <c r="V238" s="17" t="s">
        <v>17</v>
      </c>
      <c r="W238" s="18">
        <f>COUNTIF(V236:W237,"✔")</f>
        <v>0</v>
      </c>
      <c r="X238" s="17" t="s">
        <v>18</v>
      </c>
      <c r="Y238" s="18">
        <f>COUNTIF(X236:Y237,"a")</f>
        <v>0</v>
      </c>
      <c r="Z238" s="8"/>
      <c r="AA238" s="8"/>
    </row>
    <row r="239" spans="1:27" ht="12.75">
      <c r="A239" s="8"/>
      <c r="B239" s="47" t="s">
        <v>94</v>
      </c>
      <c r="C239" s="48"/>
      <c r="D239" s="48"/>
      <c r="E239" s="49"/>
      <c r="F239" s="43"/>
      <c r="G239" s="43"/>
      <c r="H239" s="43"/>
      <c r="I239" s="43"/>
      <c r="J239" s="43"/>
      <c r="K239" s="45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8"/>
      <c r="AA239" s="8"/>
    </row>
    <row r="240" spans="1:27" ht="12.75">
      <c r="A240" s="8"/>
      <c r="B240" s="50"/>
      <c r="C240" s="51"/>
      <c r="D240" s="51"/>
      <c r="E240" s="52"/>
      <c r="F240" s="44"/>
      <c r="G240" s="44"/>
      <c r="H240" s="44"/>
      <c r="I240" s="44"/>
      <c r="J240" s="44"/>
      <c r="K240" s="36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8"/>
      <c r="AA240" s="8"/>
    </row>
    <row r="241" spans="1:27" ht="15">
      <c r="A241" s="8"/>
      <c r="B241" s="40"/>
      <c r="C241" s="41"/>
      <c r="D241" s="41"/>
      <c r="E241" s="42"/>
      <c r="F241" s="17" t="s">
        <v>17</v>
      </c>
      <c r="G241" s="18">
        <f>COUNTIF(F239:G240,"✔")</f>
        <v>0</v>
      </c>
      <c r="H241" s="17" t="s">
        <v>18</v>
      </c>
      <c r="I241" s="18">
        <f>COUNTIF(H239:I240,"a")</f>
        <v>0</v>
      </c>
      <c r="J241" s="17" t="s">
        <v>17</v>
      </c>
      <c r="K241" s="18">
        <f>COUNTIF(J239:K240,"✔")</f>
        <v>0</v>
      </c>
      <c r="L241" s="17" t="s">
        <v>18</v>
      </c>
      <c r="M241" s="18">
        <f>COUNTIF(L239:M240,"a")</f>
        <v>0</v>
      </c>
      <c r="N241" s="17" t="s">
        <v>17</v>
      </c>
      <c r="O241" s="18">
        <f>COUNTIF(N239:O240,"✔")</f>
        <v>0</v>
      </c>
      <c r="P241" s="17" t="s">
        <v>18</v>
      </c>
      <c r="Q241" s="18">
        <f>COUNTIF(P239:Q240,"a")</f>
        <v>0</v>
      </c>
      <c r="R241" s="17" t="s">
        <v>17</v>
      </c>
      <c r="S241" s="18">
        <f>COUNTIF(R239:S240,"✔")</f>
        <v>0</v>
      </c>
      <c r="T241" s="17" t="s">
        <v>18</v>
      </c>
      <c r="U241" s="18">
        <f>COUNTIF(T239:U240,"a")</f>
        <v>0</v>
      </c>
      <c r="V241" s="17" t="s">
        <v>17</v>
      </c>
      <c r="W241" s="18">
        <f>COUNTIF(V239:W240,"✔")</f>
        <v>0</v>
      </c>
      <c r="X241" s="17" t="s">
        <v>18</v>
      </c>
      <c r="Y241" s="18">
        <f>COUNTIF(X239:Y240,"a")</f>
        <v>0</v>
      </c>
      <c r="Z241" s="8"/>
      <c r="AA241" s="8"/>
    </row>
    <row r="242" spans="1:27" ht="12.75">
      <c r="A242" s="8"/>
      <c r="B242" s="47" t="s">
        <v>95</v>
      </c>
      <c r="C242" s="48"/>
      <c r="D242" s="48"/>
      <c r="E242" s="49"/>
      <c r="F242" s="43"/>
      <c r="G242" s="43"/>
      <c r="H242" s="43"/>
      <c r="I242" s="43"/>
      <c r="J242" s="43"/>
      <c r="K242" s="45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8"/>
      <c r="AA242" s="8"/>
    </row>
    <row r="243" spans="1:27" ht="12.75">
      <c r="A243" s="8"/>
      <c r="B243" s="50"/>
      <c r="C243" s="51"/>
      <c r="D243" s="51"/>
      <c r="E243" s="52"/>
      <c r="F243" s="44"/>
      <c r="G243" s="44"/>
      <c r="H243" s="44"/>
      <c r="I243" s="44"/>
      <c r="J243" s="44"/>
      <c r="K243" s="36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8"/>
      <c r="AA243" s="8"/>
    </row>
    <row r="244" spans="1:27" ht="15">
      <c r="A244" s="8"/>
      <c r="B244" s="40"/>
      <c r="C244" s="41"/>
      <c r="D244" s="41"/>
      <c r="E244" s="42"/>
      <c r="F244" s="17" t="s">
        <v>17</v>
      </c>
      <c r="G244" s="18">
        <f>COUNTIF(F242:G243,"✔")</f>
        <v>0</v>
      </c>
      <c r="H244" s="17" t="s">
        <v>18</v>
      </c>
      <c r="I244" s="18">
        <f>COUNTIF(H242:I243,"a")</f>
        <v>0</v>
      </c>
      <c r="J244" s="17" t="s">
        <v>17</v>
      </c>
      <c r="K244" s="18">
        <f>COUNTIF(J242:K243,"✔")</f>
        <v>0</v>
      </c>
      <c r="L244" s="17" t="s">
        <v>18</v>
      </c>
      <c r="M244" s="18">
        <f>COUNTIF(L242:M243,"a")</f>
        <v>0</v>
      </c>
      <c r="N244" s="17" t="s">
        <v>17</v>
      </c>
      <c r="O244" s="18">
        <f>COUNTIF(N242:O243,"✔")</f>
        <v>0</v>
      </c>
      <c r="P244" s="17" t="s">
        <v>18</v>
      </c>
      <c r="Q244" s="18">
        <f>COUNTIF(P242:Q243,"a")</f>
        <v>0</v>
      </c>
      <c r="R244" s="17" t="s">
        <v>17</v>
      </c>
      <c r="S244" s="18">
        <f>COUNTIF(R242:S243,"✔")</f>
        <v>0</v>
      </c>
      <c r="T244" s="17" t="s">
        <v>18</v>
      </c>
      <c r="U244" s="18">
        <f>COUNTIF(T242:U243,"a")</f>
        <v>0</v>
      </c>
      <c r="V244" s="17" t="s">
        <v>17</v>
      </c>
      <c r="W244" s="18">
        <f>COUNTIF(V242:W243,"✔")</f>
        <v>0</v>
      </c>
      <c r="X244" s="17" t="s">
        <v>18</v>
      </c>
      <c r="Y244" s="18">
        <f>COUNTIF(X242:Y243,"a")</f>
        <v>0</v>
      </c>
      <c r="Z244" s="8"/>
      <c r="AA244" s="8"/>
    </row>
    <row r="245" spans="1:27" ht="12.75">
      <c r="A245" s="8"/>
      <c r="B245" s="47" t="s">
        <v>96</v>
      </c>
      <c r="C245" s="48"/>
      <c r="D245" s="48"/>
      <c r="E245" s="49"/>
      <c r="F245" s="43"/>
      <c r="G245" s="43"/>
      <c r="H245" s="43"/>
      <c r="I245" s="43"/>
      <c r="J245" s="43"/>
      <c r="K245" s="45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8"/>
      <c r="AA245" s="8"/>
    </row>
    <row r="246" spans="1:27" ht="12.75">
      <c r="A246" s="8"/>
      <c r="B246" s="50"/>
      <c r="C246" s="51"/>
      <c r="D246" s="51"/>
      <c r="E246" s="52"/>
      <c r="F246" s="44"/>
      <c r="G246" s="44"/>
      <c r="H246" s="44"/>
      <c r="I246" s="44"/>
      <c r="J246" s="44"/>
      <c r="K246" s="36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8"/>
      <c r="AA246" s="8"/>
    </row>
    <row r="247" spans="1:27" ht="15">
      <c r="A247" s="8"/>
      <c r="B247" s="40"/>
      <c r="C247" s="41"/>
      <c r="D247" s="41"/>
      <c r="E247" s="42"/>
      <c r="F247" s="17" t="s">
        <v>17</v>
      </c>
      <c r="G247" s="18">
        <f>COUNTIF(F245:G246,"✔")</f>
        <v>0</v>
      </c>
      <c r="H247" s="17" t="s">
        <v>18</v>
      </c>
      <c r="I247" s="18">
        <f>COUNTIF(H245:I246,"a")</f>
        <v>0</v>
      </c>
      <c r="J247" s="17" t="s">
        <v>17</v>
      </c>
      <c r="K247" s="18">
        <f>COUNTIF(J245:K246,"✔")</f>
        <v>0</v>
      </c>
      <c r="L247" s="17" t="s">
        <v>18</v>
      </c>
      <c r="M247" s="18">
        <f>COUNTIF(L245:M246,"a")</f>
        <v>0</v>
      </c>
      <c r="N247" s="17" t="s">
        <v>17</v>
      </c>
      <c r="O247" s="18">
        <f>COUNTIF(N245:O246,"✔")</f>
        <v>0</v>
      </c>
      <c r="P247" s="17" t="s">
        <v>18</v>
      </c>
      <c r="Q247" s="18">
        <f>COUNTIF(P245:Q246,"a")</f>
        <v>0</v>
      </c>
      <c r="R247" s="17" t="s">
        <v>17</v>
      </c>
      <c r="S247" s="18">
        <f>COUNTIF(R245:S246,"✔")</f>
        <v>0</v>
      </c>
      <c r="T247" s="17" t="s">
        <v>18</v>
      </c>
      <c r="U247" s="18">
        <f>COUNTIF(T245:U246,"a")</f>
        <v>0</v>
      </c>
      <c r="V247" s="17" t="s">
        <v>17</v>
      </c>
      <c r="W247" s="18">
        <f>COUNTIF(V245:W246,"✔")</f>
        <v>0</v>
      </c>
      <c r="X247" s="17" t="s">
        <v>18</v>
      </c>
      <c r="Y247" s="18">
        <f>COUNTIF(X245:Y246,"a")</f>
        <v>0</v>
      </c>
      <c r="Z247" s="8"/>
      <c r="AA247" s="8"/>
    </row>
    <row r="248" spans="1:27" ht="12.75">
      <c r="A248" s="8"/>
      <c r="B248" s="47" t="s">
        <v>97</v>
      </c>
      <c r="C248" s="48"/>
      <c r="D248" s="48"/>
      <c r="E248" s="49"/>
      <c r="F248" s="43"/>
      <c r="G248" s="43"/>
      <c r="H248" s="43"/>
      <c r="I248" s="43"/>
      <c r="J248" s="43"/>
      <c r="K248" s="45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8"/>
      <c r="AA248" s="8"/>
    </row>
    <row r="249" spans="1:27" ht="12.75">
      <c r="A249" s="8"/>
      <c r="B249" s="50"/>
      <c r="C249" s="51"/>
      <c r="D249" s="51"/>
      <c r="E249" s="52"/>
      <c r="F249" s="44"/>
      <c r="G249" s="44"/>
      <c r="H249" s="44"/>
      <c r="I249" s="44"/>
      <c r="J249" s="44"/>
      <c r="K249" s="36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8"/>
      <c r="AA249" s="8"/>
    </row>
    <row r="250" spans="1:27" ht="15">
      <c r="A250" s="8"/>
      <c r="B250" s="40"/>
      <c r="C250" s="41"/>
      <c r="D250" s="41"/>
      <c r="E250" s="42"/>
      <c r="F250" s="17" t="s">
        <v>17</v>
      </c>
      <c r="G250" s="18">
        <f>COUNTIF(F248:G249,"✔")</f>
        <v>0</v>
      </c>
      <c r="H250" s="17" t="s">
        <v>18</v>
      </c>
      <c r="I250" s="18">
        <f>COUNTIF(H248:I249,"a")</f>
        <v>0</v>
      </c>
      <c r="J250" s="17" t="s">
        <v>17</v>
      </c>
      <c r="K250" s="18">
        <f>COUNTIF(J248:K249,"✔")</f>
        <v>0</v>
      </c>
      <c r="L250" s="17" t="s">
        <v>18</v>
      </c>
      <c r="M250" s="18">
        <f>COUNTIF(L248:M249,"a")</f>
        <v>0</v>
      </c>
      <c r="N250" s="17" t="s">
        <v>17</v>
      </c>
      <c r="O250" s="18">
        <f>COUNTIF(N248:O249,"✔")</f>
        <v>0</v>
      </c>
      <c r="P250" s="17" t="s">
        <v>18</v>
      </c>
      <c r="Q250" s="18">
        <f>COUNTIF(P248:Q249,"a")</f>
        <v>0</v>
      </c>
      <c r="R250" s="17" t="s">
        <v>17</v>
      </c>
      <c r="S250" s="18">
        <f>COUNTIF(R248:S249,"✔")</f>
        <v>0</v>
      </c>
      <c r="T250" s="17" t="s">
        <v>18</v>
      </c>
      <c r="U250" s="18">
        <f>COUNTIF(T248:U249,"a")</f>
        <v>0</v>
      </c>
      <c r="V250" s="17" t="s">
        <v>17</v>
      </c>
      <c r="W250" s="18">
        <f>COUNTIF(V248:W249,"✔")</f>
        <v>0</v>
      </c>
      <c r="X250" s="17" t="s">
        <v>18</v>
      </c>
      <c r="Y250" s="18">
        <f>COUNTIF(X248:Y249,"a")</f>
        <v>0</v>
      </c>
      <c r="Z250" s="8"/>
      <c r="AA250" s="8"/>
    </row>
    <row r="251" spans="1:27" ht="12.75">
      <c r="A251" s="8"/>
      <c r="B251" s="47" t="s">
        <v>98</v>
      </c>
      <c r="C251" s="48"/>
      <c r="D251" s="48"/>
      <c r="E251" s="49"/>
      <c r="F251" s="43"/>
      <c r="G251" s="43"/>
      <c r="H251" s="43"/>
      <c r="I251" s="43"/>
      <c r="J251" s="43"/>
      <c r="K251" s="45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8"/>
      <c r="AA251" s="8"/>
    </row>
    <row r="252" spans="1:27" ht="12.75">
      <c r="A252" s="8"/>
      <c r="B252" s="50"/>
      <c r="C252" s="51"/>
      <c r="D252" s="51"/>
      <c r="E252" s="52"/>
      <c r="F252" s="44"/>
      <c r="G252" s="44"/>
      <c r="H252" s="44"/>
      <c r="I252" s="44"/>
      <c r="J252" s="44"/>
      <c r="K252" s="36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8"/>
      <c r="AA252" s="8"/>
    </row>
    <row r="253" spans="1:27" ht="15">
      <c r="A253" s="8"/>
      <c r="B253" s="40"/>
      <c r="C253" s="41"/>
      <c r="D253" s="41"/>
      <c r="E253" s="42"/>
      <c r="F253" s="17" t="s">
        <v>17</v>
      </c>
      <c r="G253" s="18">
        <f>COUNTIF(F251:G252,"✔")</f>
        <v>0</v>
      </c>
      <c r="H253" s="17" t="s">
        <v>18</v>
      </c>
      <c r="I253" s="18">
        <f>COUNTIF(H251:I252,"a")</f>
        <v>0</v>
      </c>
      <c r="J253" s="17" t="s">
        <v>17</v>
      </c>
      <c r="K253" s="18">
        <f>COUNTIF(J251:K252,"✔")</f>
        <v>0</v>
      </c>
      <c r="L253" s="17" t="s">
        <v>18</v>
      </c>
      <c r="M253" s="18">
        <f>COUNTIF(L251:M252,"a")</f>
        <v>0</v>
      </c>
      <c r="N253" s="17" t="s">
        <v>17</v>
      </c>
      <c r="O253" s="18">
        <f>COUNTIF(N251:O252,"✔")</f>
        <v>0</v>
      </c>
      <c r="P253" s="17" t="s">
        <v>18</v>
      </c>
      <c r="Q253" s="18">
        <f>COUNTIF(P251:Q252,"a")</f>
        <v>0</v>
      </c>
      <c r="R253" s="17" t="s">
        <v>17</v>
      </c>
      <c r="S253" s="18">
        <f>COUNTIF(R251:S252,"✔")</f>
        <v>0</v>
      </c>
      <c r="T253" s="17" t="s">
        <v>18</v>
      </c>
      <c r="U253" s="18">
        <f>COUNTIF(T251:U252,"a")</f>
        <v>0</v>
      </c>
      <c r="V253" s="17" t="s">
        <v>17</v>
      </c>
      <c r="W253" s="18">
        <f>COUNTIF(V251:W252,"✔")</f>
        <v>0</v>
      </c>
      <c r="X253" s="17" t="s">
        <v>18</v>
      </c>
      <c r="Y253" s="18">
        <f>COUNTIF(X251:Y252,"a")</f>
        <v>0</v>
      </c>
      <c r="Z253" s="8"/>
      <c r="AA253" s="8"/>
    </row>
    <row r="254" spans="1:27" ht="12.75">
      <c r="A254" s="8"/>
      <c r="B254" s="47" t="s">
        <v>99</v>
      </c>
      <c r="C254" s="48"/>
      <c r="D254" s="48"/>
      <c r="E254" s="49"/>
      <c r="F254" s="43"/>
      <c r="G254" s="43"/>
      <c r="H254" s="43"/>
      <c r="I254" s="43"/>
      <c r="J254" s="43"/>
      <c r="K254" s="45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8"/>
      <c r="AA254" s="8"/>
    </row>
    <row r="255" spans="1:27" ht="12.75">
      <c r="A255" s="8"/>
      <c r="B255" s="50"/>
      <c r="C255" s="51"/>
      <c r="D255" s="51"/>
      <c r="E255" s="52"/>
      <c r="F255" s="44"/>
      <c r="G255" s="44"/>
      <c r="H255" s="44"/>
      <c r="I255" s="44"/>
      <c r="J255" s="44"/>
      <c r="K255" s="36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8"/>
      <c r="AA255" s="8"/>
    </row>
    <row r="256" spans="1:27" ht="15">
      <c r="A256" s="8"/>
      <c r="B256" s="40"/>
      <c r="C256" s="41"/>
      <c r="D256" s="41"/>
      <c r="E256" s="42"/>
      <c r="F256" s="17" t="s">
        <v>17</v>
      </c>
      <c r="G256" s="18">
        <f>COUNTIF(F254:G255,"✔")</f>
        <v>0</v>
      </c>
      <c r="H256" s="17" t="s">
        <v>18</v>
      </c>
      <c r="I256" s="18">
        <f>COUNTIF(H254:I255,"a")</f>
        <v>0</v>
      </c>
      <c r="J256" s="17" t="s">
        <v>17</v>
      </c>
      <c r="K256" s="18">
        <f>COUNTIF(J254:K255,"✔")</f>
        <v>0</v>
      </c>
      <c r="L256" s="17" t="s">
        <v>18</v>
      </c>
      <c r="M256" s="18">
        <f>COUNTIF(L254:M255,"a")</f>
        <v>0</v>
      </c>
      <c r="N256" s="17" t="s">
        <v>17</v>
      </c>
      <c r="O256" s="18">
        <f>COUNTIF(N254:O255,"✔")</f>
        <v>0</v>
      </c>
      <c r="P256" s="17" t="s">
        <v>18</v>
      </c>
      <c r="Q256" s="18">
        <f>COUNTIF(P254:Q255,"a")</f>
        <v>0</v>
      </c>
      <c r="R256" s="17" t="s">
        <v>17</v>
      </c>
      <c r="S256" s="18">
        <f>COUNTIF(R254:S255,"✔")</f>
        <v>0</v>
      </c>
      <c r="T256" s="17" t="s">
        <v>18</v>
      </c>
      <c r="U256" s="18">
        <f>COUNTIF(T254:U255,"a")</f>
        <v>0</v>
      </c>
      <c r="V256" s="17" t="s">
        <v>17</v>
      </c>
      <c r="W256" s="18">
        <f>COUNTIF(V254:W255,"✔")</f>
        <v>0</v>
      </c>
      <c r="X256" s="17" t="s">
        <v>18</v>
      </c>
      <c r="Y256" s="18">
        <f>COUNTIF(X254:Y255,"a")</f>
        <v>0</v>
      </c>
      <c r="Z256" s="8"/>
      <c r="AA256" s="8"/>
    </row>
    <row r="257" spans="1:27" ht="12.75">
      <c r="A257" s="8"/>
      <c r="B257" s="47" t="s">
        <v>100</v>
      </c>
      <c r="C257" s="48"/>
      <c r="D257" s="48"/>
      <c r="E257" s="49"/>
      <c r="F257" s="43"/>
      <c r="G257" s="43"/>
      <c r="H257" s="43"/>
      <c r="I257" s="43"/>
      <c r="J257" s="43"/>
      <c r="K257" s="45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8"/>
      <c r="AA257" s="8"/>
    </row>
    <row r="258" spans="1:27" ht="12.75">
      <c r="A258" s="8"/>
      <c r="B258" s="50"/>
      <c r="C258" s="51"/>
      <c r="D258" s="51"/>
      <c r="E258" s="52"/>
      <c r="F258" s="44"/>
      <c r="G258" s="44"/>
      <c r="H258" s="44"/>
      <c r="I258" s="44"/>
      <c r="J258" s="44"/>
      <c r="K258" s="36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8"/>
      <c r="AA258" s="8"/>
    </row>
    <row r="259" spans="1:27" ht="15">
      <c r="A259" s="8"/>
      <c r="B259" s="40"/>
      <c r="C259" s="41"/>
      <c r="D259" s="41"/>
      <c r="E259" s="42"/>
      <c r="F259" s="17" t="s">
        <v>17</v>
      </c>
      <c r="G259" s="18">
        <f>COUNTIF(F257:G258,"✔")</f>
        <v>0</v>
      </c>
      <c r="H259" s="17" t="s">
        <v>18</v>
      </c>
      <c r="I259" s="18">
        <f>COUNTIF(H257:I258,"a")</f>
        <v>0</v>
      </c>
      <c r="J259" s="17" t="s">
        <v>17</v>
      </c>
      <c r="K259" s="18">
        <f>COUNTIF(J257:K258,"✔")</f>
        <v>0</v>
      </c>
      <c r="L259" s="17" t="s">
        <v>18</v>
      </c>
      <c r="M259" s="18">
        <f>COUNTIF(L257:M258,"a")</f>
        <v>0</v>
      </c>
      <c r="N259" s="17" t="s">
        <v>17</v>
      </c>
      <c r="O259" s="18">
        <f>COUNTIF(N257:O258,"✔")</f>
        <v>0</v>
      </c>
      <c r="P259" s="17" t="s">
        <v>18</v>
      </c>
      <c r="Q259" s="18">
        <f>COUNTIF(P257:Q258,"a")</f>
        <v>0</v>
      </c>
      <c r="R259" s="17" t="s">
        <v>17</v>
      </c>
      <c r="S259" s="18">
        <f>COUNTIF(R257:S258,"✔")</f>
        <v>0</v>
      </c>
      <c r="T259" s="17" t="s">
        <v>18</v>
      </c>
      <c r="U259" s="18">
        <f>COUNTIF(T257:U258,"a")</f>
        <v>0</v>
      </c>
      <c r="V259" s="17" t="s">
        <v>17</v>
      </c>
      <c r="W259" s="18">
        <f>COUNTIF(V257:W258,"✔")</f>
        <v>0</v>
      </c>
      <c r="X259" s="17" t="s">
        <v>18</v>
      </c>
      <c r="Y259" s="18">
        <f>COUNTIF(X257:Y258,"a")</f>
        <v>0</v>
      </c>
      <c r="Z259" s="8"/>
      <c r="AA259" s="8"/>
    </row>
    <row r="260" spans="1:27" ht="12.75">
      <c r="A260" s="8"/>
      <c r="B260" s="47" t="s">
        <v>101</v>
      </c>
      <c r="C260" s="48"/>
      <c r="D260" s="48"/>
      <c r="E260" s="49"/>
      <c r="F260" s="43"/>
      <c r="G260" s="43"/>
      <c r="H260" s="43"/>
      <c r="I260" s="43"/>
      <c r="J260" s="43"/>
      <c r="K260" s="45"/>
      <c r="L260" s="43"/>
      <c r="M260" s="43"/>
      <c r="N260" s="43"/>
      <c r="O260" s="43"/>
      <c r="P260" s="53"/>
      <c r="Q260" s="43"/>
      <c r="R260" s="43"/>
      <c r="S260" s="43"/>
      <c r="T260" s="43"/>
      <c r="U260" s="43"/>
      <c r="V260" s="43"/>
      <c r="W260" s="43"/>
      <c r="X260" s="43"/>
      <c r="Y260" s="43"/>
      <c r="Z260" s="8"/>
      <c r="AA260" s="8"/>
    </row>
    <row r="261" spans="1:27" ht="12.75">
      <c r="A261" s="8"/>
      <c r="B261" s="50"/>
      <c r="C261" s="51"/>
      <c r="D261" s="51"/>
      <c r="E261" s="52"/>
      <c r="F261" s="44"/>
      <c r="G261" s="44"/>
      <c r="H261" s="44"/>
      <c r="I261" s="44"/>
      <c r="J261" s="44"/>
      <c r="K261" s="36"/>
      <c r="L261" s="44"/>
      <c r="M261" s="44"/>
      <c r="N261" s="44"/>
      <c r="O261" s="44"/>
      <c r="P261" s="36"/>
      <c r="Q261" s="44"/>
      <c r="R261" s="44"/>
      <c r="S261" s="44"/>
      <c r="T261" s="44"/>
      <c r="U261" s="44"/>
      <c r="V261" s="44"/>
      <c r="W261" s="44"/>
      <c r="X261" s="44"/>
      <c r="Y261" s="44"/>
      <c r="Z261" s="8"/>
      <c r="AA261" s="8"/>
    </row>
    <row r="262" spans="1:27" ht="15">
      <c r="A262" s="8"/>
      <c r="B262" s="40"/>
      <c r="C262" s="41"/>
      <c r="D262" s="41"/>
      <c r="E262" s="42"/>
      <c r="F262" s="17" t="s">
        <v>17</v>
      </c>
      <c r="G262" s="18">
        <f>COUNTIF(F260:G261,"✔")</f>
        <v>0</v>
      </c>
      <c r="H262" s="17" t="s">
        <v>18</v>
      </c>
      <c r="I262" s="18">
        <f>COUNTIF(H260:I261,"a")</f>
        <v>0</v>
      </c>
      <c r="J262" s="17" t="s">
        <v>17</v>
      </c>
      <c r="K262" s="18">
        <f>COUNTIF(J260:K261,"✔")</f>
        <v>0</v>
      </c>
      <c r="L262" s="17" t="s">
        <v>18</v>
      </c>
      <c r="M262" s="18">
        <f>COUNTIF(L260:M261,"a")</f>
        <v>0</v>
      </c>
      <c r="N262" s="17" t="s">
        <v>17</v>
      </c>
      <c r="O262" s="18">
        <f>COUNTIF(N260:O261,"✔")</f>
        <v>0</v>
      </c>
      <c r="P262" s="17" t="s">
        <v>18</v>
      </c>
      <c r="Q262" s="18">
        <f>COUNTIF(P260:Q261,"a")</f>
        <v>0</v>
      </c>
      <c r="R262" s="17" t="s">
        <v>17</v>
      </c>
      <c r="S262" s="18">
        <f>COUNTIF(R260:S261,"✔")</f>
        <v>0</v>
      </c>
      <c r="T262" s="17" t="s">
        <v>18</v>
      </c>
      <c r="U262" s="18">
        <f>COUNTIF(T260:U261,"a")</f>
        <v>0</v>
      </c>
      <c r="V262" s="17" t="s">
        <v>17</v>
      </c>
      <c r="W262" s="18">
        <f>COUNTIF(V260:W261,"✔")</f>
        <v>0</v>
      </c>
      <c r="X262" s="17" t="s">
        <v>18</v>
      </c>
      <c r="Y262" s="18">
        <f>COUNTIF(X260:Y261,"a")</f>
        <v>0</v>
      </c>
      <c r="Z262" s="8"/>
      <c r="AA262" s="8"/>
    </row>
    <row r="263" spans="1:27" ht="12.75">
      <c r="A263" s="8"/>
      <c r="B263" s="47" t="s">
        <v>102</v>
      </c>
      <c r="C263" s="48"/>
      <c r="D263" s="48"/>
      <c r="E263" s="49"/>
      <c r="F263" s="43"/>
      <c r="G263" s="43"/>
      <c r="H263" s="43"/>
      <c r="I263" s="43"/>
      <c r="J263" s="43"/>
      <c r="K263" s="45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8"/>
      <c r="AA263" s="8"/>
    </row>
    <row r="264" spans="1:27" ht="12.75">
      <c r="A264" s="8"/>
      <c r="B264" s="50"/>
      <c r="C264" s="51"/>
      <c r="D264" s="51"/>
      <c r="E264" s="52"/>
      <c r="F264" s="44"/>
      <c r="G264" s="44"/>
      <c r="H264" s="44"/>
      <c r="I264" s="44"/>
      <c r="J264" s="44"/>
      <c r="K264" s="36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8"/>
      <c r="AA264" s="8"/>
    </row>
    <row r="265" spans="1:27" ht="15">
      <c r="A265" s="8"/>
      <c r="B265" s="40"/>
      <c r="C265" s="41"/>
      <c r="D265" s="41"/>
      <c r="E265" s="42"/>
      <c r="F265" s="17" t="s">
        <v>17</v>
      </c>
      <c r="G265" s="18">
        <f>COUNTIF(F263:G264,"✔")</f>
        <v>0</v>
      </c>
      <c r="H265" s="17" t="s">
        <v>18</v>
      </c>
      <c r="I265" s="18">
        <f>COUNTIF(H263:I264,"a")</f>
        <v>0</v>
      </c>
      <c r="J265" s="17" t="s">
        <v>17</v>
      </c>
      <c r="K265" s="18">
        <f>COUNTIF(J263:K264,"✔")</f>
        <v>0</v>
      </c>
      <c r="L265" s="17" t="s">
        <v>18</v>
      </c>
      <c r="M265" s="18">
        <f>COUNTIF(L263:M264,"a")</f>
        <v>0</v>
      </c>
      <c r="N265" s="17" t="s">
        <v>17</v>
      </c>
      <c r="O265" s="18">
        <f>COUNTIF(N263:O264,"✔")</f>
        <v>0</v>
      </c>
      <c r="P265" s="17" t="s">
        <v>18</v>
      </c>
      <c r="Q265" s="18">
        <f>COUNTIF(P263:Q264,"a")</f>
        <v>0</v>
      </c>
      <c r="R265" s="17" t="s">
        <v>17</v>
      </c>
      <c r="S265" s="18">
        <f>COUNTIF(R263:S264,"✔")</f>
        <v>0</v>
      </c>
      <c r="T265" s="17" t="s">
        <v>18</v>
      </c>
      <c r="U265" s="18">
        <f>COUNTIF(T263:U264,"a")</f>
        <v>0</v>
      </c>
      <c r="V265" s="17" t="s">
        <v>17</v>
      </c>
      <c r="W265" s="18">
        <f>COUNTIF(V263:W264,"✔")</f>
        <v>0</v>
      </c>
      <c r="X265" s="17" t="s">
        <v>18</v>
      </c>
      <c r="Y265" s="18">
        <f>COUNTIF(X263:Y264,"a")</f>
        <v>0</v>
      </c>
      <c r="Z265" s="8"/>
      <c r="AA265" s="8"/>
    </row>
    <row r="266" spans="1:27" ht="12.75">
      <c r="A266" s="8"/>
      <c r="B266" s="47" t="s">
        <v>103</v>
      </c>
      <c r="C266" s="48"/>
      <c r="D266" s="48"/>
      <c r="E266" s="49"/>
      <c r="F266" s="43"/>
      <c r="G266" s="43"/>
      <c r="H266" s="43"/>
      <c r="I266" s="43"/>
      <c r="J266" s="43"/>
      <c r="K266" s="45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8"/>
      <c r="AA266" s="8"/>
    </row>
    <row r="267" spans="1:27" ht="12.75">
      <c r="A267" s="8"/>
      <c r="B267" s="50"/>
      <c r="C267" s="51"/>
      <c r="D267" s="51"/>
      <c r="E267" s="52"/>
      <c r="F267" s="44"/>
      <c r="G267" s="44"/>
      <c r="H267" s="44"/>
      <c r="I267" s="44"/>
      <c r="J267" s="44"/>
      <c r="K267" s="36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8"/>
      <c r="AA267" s="8"/>
    </row>
    <row r="268" spans="1:27" ht="15">
      <c r="A268" s="8"/>
      <c r="B268" s="40"/>
      <c r="C268" s="41"/>
      <c r="D268" s="41"/>
      <c r="E268" s="42"/>
      <c r="F268" s="17" t="s">
        <v>17</v>
      </c>
      <c r="G268" s="18">
        <f>COUNTIF(F266:G267,"✔")</f>
        <v>0</v>
      </c>
      <c r="H268" s="17" t="s">
        <v>18</v>
      </c>
      <c r="I268" s="18">
        <f>COUNTIF(H266:I267,"a")</f>
        <v>0</v>
      </c>
      <c r="J268" s="17" t="s">
        <v>17</v>
      </c>
      <c r="K268" s="18">
        <f>COUNTIF(J266:K267,"✔")</f>
        <v>0</v>
      </c>
      <c r="L268" s="17" t="s">
        <v>18</v>
      </c>
      <c r="M268" s="18">
        <f>COUNTIF(L266:M267,"a")</f>
        <v>0</v>
      </c>
      <c r="N268" s="17" t="s">
        <v>17</v>
      </c>
      <c r="O268" s="18">
        <f>COUNTIF(N266:O267,"✔")</f>
        <v>0</v>
      </c>
      <c r="P268" s="17" t="s">
        <v>18</v>
      </c>
      <c r="Q268" s="18">
        <f>COUNTIF(P266:Q267,"a")</f>
        <v>0</v>
      </c>
      <c r="R268" s="17" t="s">
        <v>17</v>
      </c>
      <c r="S268" s="18">
        <f>COUNTIF(R266:S267,"✔")</f>
        <v>0</v>
      </c>
      <c r="T268" s="17" t="s">
        <v>18</v>
      </c>
      <c r="U268" s="18">
        <f>COUNTIF(T266:U267,"a")</f>
        <v>0</v>
      </c>
      <c r="V268" s="17" t="s">
        <v>17</v>
      </c>
      <c r="W268" s="18">
        <f>COUNTIF(V266:W267,"✔")</f>
        <v>0</v>
      </c>
      <c r="X268" s="17" t="s">
        <v>18</v>
      </c>
      <c r="Y268" s="18">
        <f>COUNTIF(X266:Y267,"a")</f>
        <v>0</v>
      </c>
      <c r="Z268" s="8"/>
      <c r="AA268" s="8"/>
    </row>
    <row r="269" spans="1:27" ht="12.75">
      <c r="A269" s="8"/>
      <c r="B269" s="47" t="s">
        <v>104</v>
      </c>
      <c r="C269" s="48"/>
      <c r="D269" s="48"/>
      <c r="E269" s="49"/>
      <c r="F269" s="43"/>
      <c r="G269" s="43"/>
      <c r="H269" s="43"/>
      <c r="I269" s="43"/>
      <c r="J269" s="43"/>
      <c r="K269" s="45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8"/>
      <c r="AA269" s="8"/>
    </row>
    <row r="270" spans="1:27" ht="12.75">
      <c r="A270" s="8"/>
      <c r="B270" s="50"/>
      <c r="C270" s="51"/>
      <c r="D270" s="51"/>
      <c r="E270" s="52"/>
      <c r="F270" s="44"/>
      <c r="G270" s="44"/>
      <c r="H270" s="44"/>
      <c r="I270" s="44"/>
      <c r="J270" s="44"/>
      <c r="K270" s="36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8"/>
      <c r="AA270" s="8"/>
    </row>
    <row r="271" spans="1:27" ht="15">
      <c r="A271" s="8"/>
      <c r="B271" s="40"/>
      <c r="C271" s="41"/>
      <c r="D271" s="41"/>
      <c r="E271" s="42"/>
      <c r="F271" s="17" t="s">
        <v>17</v>
      </c>
      <c r="G271" s="18">
        <f>COUNTIF(F269:G270,"✔")</f>
        <v>0</v>
      </c>
      <c r="H271" s="17" t="s">
        <v>18</v>
      </c>
      <c r="I271" s="18">
        <f>COUNTIF(H269:I270,"a")</f>
        <v>0</v>
      </c>
      <c r="J271" s="17" t="s">
        <v>17</v>
      </c>
      <c r="K271" s="18">
        <f>COUNTIF(J269:K270,"✔")</f>
        <v>0</v>
      </c>
      <c r="L271" s="17" t="s">
        <v>18</v>
      </c>
      <c r="M271" s="18">
        <f>COUNTIF(L269:M270,"a")</f>
        <v>0</v>
      </c>
      <c r="N271" s="17" t="s">
        <v>17</v>
      </c>
      <c r="O271" s="18">
        <f>COUNTIF(N269:O270,"✔")</f>
        <v>0</v>
      </c>
      <c r="P271" s="17" t="s">
        <v>18</v>
      </c>
      <c r="Q271" s="18">
        <f>COUNTIF(P269:Q270,"a")</f>
        <v>0</v>
      </c>
      <c r="R271" s="17" t="s">
        <v>17</v>
      </c>
      <c r="S271" s="18">
        <f>COUNTIF(R269:S270,"✔")</f>
        <v>0</v>
      </c>
      <c r="T271" s="17" t="s">
        <v>18</v>
      </c>
      <c r="U271" s="18">
        <f>COUNTIF(T269:U270,"a")</f>
        <v>0</v>
      </c>
      <c r="V271" s="17" t="s">
        <v>17</v>
      </c>
      <c r="W271" s="18">
        <f>COUNTIF(V269:W270,"✔")</f>
        <v>0</v>
      </c>
      <c r="X271" s="17" t="s">
        <v>18</v>
      </c>
      <c r="Y271" s="18">
        <f>COUNTIF(X269:Y270,"a")</f>
        <v>0</v>
      </c>
      <c r="Z271" s="8"/>
      <c r="AA271" s="8"/>
    </row>
    <row r="272" spans="1:27" ht="12.75">
      <c r="A272" s="8"/>
      <c r="B272" s="47" t="s">
        <v>105</v>
      </c>
      <c r="C272" s="48"/>
      <c r="D272" s="48"/>
      <c r="E272" s="49"/>
      <c r="F272" s="43"/>
      <c r="G272" s="43"/>
      <c r="H272" s="43"/>
      <c r="I272" s="43"/>
      <c r="J272" s="43"/>
      <c r="K272" s="45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8"/>
      <c r="AA272" s="8"/>
    </row>
    <row r="273" spans="1:27" ht="12.75">
      <c r="A273" s="8"/>
      <c r="B273" s="50"/>
      <c r="C273" s="51"/>
      <c r="D273" s="51"/>
      <c r="E273" s="52"/>
      <c r="F273" s="44"/>
      <c r="G273" s="44"/>
      <c r="H273" s="44"/>
      <c r="I273" s="44"/>
      <c r="J273" s="44"/>
      <c r="K273" s="36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8"/>
      <c r="AA273" s="8"/>
    </row>
    <row r="274" spans="1:27" ht="15">
      <c r="A274" s="8"/>
      <c r="B274" s="40"/>
      <c r="C274" s="41"/>
      <c r="D274" s="41"/>
      <c r="E274" s="42"/>
      <c r="F274" s="17" t="s">
        <v>17</v>
      </c>
      <c r="G274" s="18">
        <f>COUNTIF(F272:G273,"✔")</f>
        <v>0</v>
      </c>
      <c r="H274" s="17" t="s">
        <v>18</v>
      </c>
      <c r="I274" s="18">
        <f>COUNTIF(H272:I273,"a")</f>
        <v>0</v>
      </c>
      <c r="J274" s="17" t="s">
        <v>17</v>
      </c>
      <c r="K274" s="18">
        <f>COUNTIF(J272:K273,"✔")</f>
        <v>0</v>
      </c>
      <c r="L274" s="17" t="s">
        <v>18</v>
      </c>
      <c r="M274" s="18">
        <f>COUNTIF(L272:M273,"a")</f>
        <v>0</v>
      </c>
      <c r="N274" s="17" t="s">
        <v>17</v>
      </c>
      <c r="O274" s="18">
        <f>COUNTIF(N272:O273,"✔")</f>
        <v>0</v>
      </c>
      <c r="P274" s="17" t="s">
        <v>18</v>
      </c>
      <c r="Q274" s="18">
        <f>COUNTIF(P272:Q273,"a")</f>
        <v>0</v>
      </c>
      <c r="R274" s="17" t="s">
        <v>17</v>
      </c>
      <c r="S274" s="18">
        <f>COUNTIF(R272:S273,"✔")</f>
        <v>0</v>
      </c>
      <c r="T274" s="17" t="s">
        <v>18</v>
      </c>
      <c r="U274" s="18">
        <f>COUNTIF(T272:U273,"a")</f>
        <v>0</v>
      </c>
      <c r="V274" s="17" t="s">
        <v>17</v>
      </c>
      <c r="W274" s="18">
        <f>COUNTIF(V272:W273,"✔")</f>
        <v>0</v>
      </c>
      <c r="X274" s="17" t="s">
        <v>18</v>
      </c>
      <c r="Y274" s="18">
        <f>COUNTIF(X272:Y273,"a")</f>
        <v>0</v>
      </c>
      <c r="Z274" s="8"/>
      <c r="AA274" s="8"/>
    </row>
    <row r="275" spans="1:27" ht="12.75">
      <c r="A275" s="8"/>
      <c r="B275" s="47" t="s">
        <v>106</v>
      </c>
      <c r="C275" s="48"/>
      <c r="D275" s="48"/>
      <c r="E275" s="49"/>
      <c r="F275" s="43"/>
      <c r="G275" s="43"/>
      <c r="H275" s="43"/>
      <c r="I275" s="43"/>
      <c r="J275" s="43"/>
      <c r="K275" s="45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8"/>
      <c r="AA275" s="8"/>
    </row>
    <row r="276" spans="1:27" ht="12.75">
      <c r="A276" s="8"/>
      <c r="B276" s="50"/>
      <c r="C276" s="51"/>
      <c r="D276" s="51"/>
      <c r="E276" s="52"/>
      <c r="F276" s="44"/>
      <c r="G276" s="44"/>
      <c r="H276" s="44"/>
      <c r="I276" s="44"/>
      <c r="J276" s="44"/>
      <c r="K276" s="36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8"/>
      <c r="AA276" s="8"/>
    </row>
    <row r="277" spans="1:27" ht="15">
      <c r="A277" s="8"/>
      <c r="B277" s="40"/>
      <c r="C277" s="41"/>
      <c r="D277" s="41"/>
      <c r="E277" s="42"/>
      <c r="F277" s="17" t="s">
        <v>17</v>
      </c>
      <c r="G277" s="18">
        <f>COUNTIF(F275:G276,"✔")</f>
        <v>0</v>
      </c>
      <c r="H277" s="17" t="s">
        <v>18</v>
      </c>
      <c r="I277" s="18">
        <f>COUNTIF(H275:I276,"a")</f>
        <v>0</v>
      </c>
      <c r="J277" s="17" t="s">
        <v>17</v>
      </c>
      <c r="K277" s="18">
        <f>COUNTIF(J275:K276,"✔")</f>
        <v>0</v>
      </c>
      <c r="L277" s="17" t="s">
        <v>18</v>
      </c>
      <c r="M277" s="18">
        <f>COUNTIF(L275:M276,"a")</f>
        <v>0</v>
      </c>
      <c r="N277" s="17" t="s">
        <v>17</v>
      </c>
      <c r="O277" s="18">
        <f>COUNTIF(N275:O276,"✔")</f>
        <v>0</v>
      </c>
      <c r="P277" s="17" t="s">
        <v>18</v>
      </c>
      <c r="Q277" s="18">
        <f>COUNTIF(P275:Q276,"a")</f>
        <v>0</v>
      </c>
      <c r="R277" s="17" t="s">
        <v>17</v>
      </c>
      <c r="S277" s="18">
        <f>COUNTIF(R275:S276,"✔")</f>
        <v>0</v>
      </c>
      <c r="T277" s="17" t="s">
        <v>18</v>
      </c>
      <c r="U277" s="18">
        <f>COUNTIF(T275:U276,"a")</f>
        <v>0</v>
      </c>
      <c r="V277" s="17" t="s">
        <v>17</v>
      </c>
      <c r="W277" s="18">
        <f>COUNTIF(V275:W276,"✔")</f>
        <v>0</v>
      </c>
      <c r="X277" s="17" t="s">
        <v>18</v>
      </c>
      <c r="Y277" s="18">
        <f>COUNTIF(X275:Y276,"a")</f>
        <v>0</v>
      </c>
      <c r="Z277" s="8"/>
      <c r="AA277" s="8"/>
    </row>
    <row r="278" spans="1:27" ht="12.75">
      <c r="A278" s="8"/>
      <c r="B278" s="47" t="s">
        <v>107</v>
      </c>
      <c r="C278" s="48"/>
      <c r="D278" s="48"/>
      <c r="E278" s="49"/>
      <c r="F278" s="43"/>
      <c r="G278" s="43"/>
      <c r="H278" s="43"/>
      <c r="I278" s="43"/>
      <c r="J278" s="43"/>
      <c r="K278" s="45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8"/>
      <c r="AA278" s="8"/>
    </row>
    <row r="279" spans="1:27" ht="12.75">
      <c r="A279" s="8"/>
      <c r="B279" s="50"/>
      <c r="C279" s="51"/>
      <c r="D279" s="51"/>
      <c r="E279" s="52"/>
      <c r="F279" s="44"/>
      <c r="G279" s="44"/>
      <c r="H279" s="44"/>
      <c r="I279" s="44"/>
      <c r="J279" s="44"/>
      <c r="K279" s="36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8"/>
      <c r="AA279" s="8"/>
    </row>
    <row r="280" spans="1:27" ht="15">
      <c r="A280" s="8"/>
      <c r="B280" s="40"/>
      <c r="C280" s="41"/>
      <c r="D280" s="41"/>
      <c r="E280" s="42"/>
      <c r="F280" s="17" t="s">
        <v>17</v>
      </c>
      <c r="G280" s="18">
        <f>COUNTIF(F278:G279,"✔")</f>
        <v>0</v>
      </c>
      <c r="H280" s="17" t="s">
        <v>18</v>
      </c>
      <c r="I280" s="18">
        <f>COUNTIF(H278:I279,"a")</f>
        <v>0</v>
      </c>
      <c r="J280" s="17" t="s">
        <v>17</v>
      </c>
      <c r="K280" s="18">
        <f>COUNTIF(J278:K279,"✔")</f>
        <v>0</v>
      </c>
      <c r="L280" s="17" t="s">
        <v>18</v>
      </c>
      <c r="M280" s="18">
        <f>COUNTIF(L278:M279,"a")</f>
        <v>0</v>
      </c>
      <c r="N280" s="17" t="s">
        <v>17</v>
      </c>
      <c r="O280" s="18">
        <f>COUNTIF(N278:O279,"✔")</f>
        <v>0</v>
      </c>
      <c r="P280" s="17" t="s">
        <v>18</v>
      </c>
      <c r="Q280" s="18">
        <f>COUNTIF(P278:Q279,"a")</f>
        <v>0</v>
      </c>
      <c r="R280" s="17" t="s">
        <v>17</v>
      </c>
      <c r="S280" s="18">
        <f>COUNTIF(R278:S279,"✔")</f>
        <v>0</v>
      </c>
      <c r="T280" s="17" t="s">
        <v>18</v>
      </c>
      <c r="U280" s="18">
        <f>COUNTIF(T278:U279,"a")</f>
        <v>0</v>
      </c>
      <c r="V280" s="17" t="s">
        <v>17</v>
      </c>
      <c r="W280" s="18">
        <f>COUNTIF(V278:W279,"✔")</f>
        <v>0</v>
      </c>
      <c r="X280" s="17" t="s">
        <v>18</v>
      </c>
      <c r="Y280" s="18">
        <f>COUNTIF(X278:Y279,"a")</f>
        <v>0</v>
      </c>
      <c r="Z280" s="8"/>
      <c r="AA280" s="8"/>
    </row>
    <row r="281" spans="1:27" ht="12.75">
      <c r="A281" s="8"/>
      <c r="B281" s="47" t="s">
        <v>108</v>
      </c>
      <c r="C281" s="48"/>
      <c r="D281" s="48"/>
      <c r="E281" s="49"/>
      <c r="F281" s="43"/>
      <c r="G281" s="43"/>
      <c r="H281" s="43"/>
      <c r="I281" s="43"/>
      <c r="J281" s="43"/>
      <c r="K281" s="45"/>
      <c r="L281" s="43"/>
      <c r="M281" s="43"/>
      <c r="N281" s="43"/>
      <c r="O281" s="43"/>
      <c r="P281" s="53"/>
      <c r="Q281" s="43"/>
      <c r="R281" s="43"/>
      <c r="S281" s="43"/>
      <c r="T281" s="43"/>
      <c r="U281" s="43"/>
      <c r="V281" s="43"/>
      <c r="W281" s="43"/>
      <c r="X281" s="43"/>
      <c r="Y281" s="43"/>
      <c r="Z281" s="8"/>
      <c r="AA281" s="8"/>
    </row>
    <row r="282" spans="1:27" ht="12.75">
      <c r="A282" s="8"/>
      <c r="B282" s="50"/>
      <c r="C282" s="51"/>
      <c r="D282" s="51"/>
      <c r="E282" s="52"/>
      <c r="F282" s="44"/>
      <c r="G282" s="44"/>
      <c r="H282" s="44"/>
      <c r="I282" s="44"/>
      <c r="J282" s="44"/>
      <c r="K282" s="36"/>
      <c r="L282" s="44"/>
      <c r="M282" s="44"/>
      <c r="N282" s="44"/>
      <c r="O282" s="44"/>
      <c r="P282" s="36"/>
      <c r="Q282" s="44"/>
      <c r="R282" s="44"/>
      <c r="S282" s="44"/>
      <c r="T282" s="44"/>
      <c r="U282" s="44"/>
      <c r="V282" s="44"/>
      <c r="W282" s="44"/>
      <c r="X282" s="44"/>
      <c r="Y282" s="44"/>
      <c r="Z282" s="8"/>
      <c r="AA282" s="8"/>
    </row>
    <row r="283" spans="1:27" ht="15">
      <c r="A283" s="8"/>
      <c r="B283" s="40"/>
      <c r="C283" s="41"/>
      <c r="D283" s="41"/>
      <c r="E283" s="42"/>
      <c r="F283" s="17" t="s">
        <v>17</v>
      </c>
      <c r="G283" s="18">
        <f>COUNTIF(F281:G282,"✔")</f>
        <v>0</v>
      </c>
      <c r="H283" s="17" t="s">
        <v>18</v>
      </c>
      <c r="I283" s="18">
        <f>COUNTIF(H281:I282,"a")</f>
        <v>0</v>
      </c>
      <c r="J283" s="17" t="s">
        <v>17</v>
      </c>
      <c r="K283" s="18">
        <f>COUNTIF(J281:K282,"✔")</f>
        <v>0</v>
      </c>
      <c r="L283" s="17" t="s">
        <v>18</v>
      </c>
      <c r="M283" s="18">
        <f>COUNTIF(L281:M282,"a")</f>
        <v>0</v>
      </c>
      <c r="N283" s="17" t="s">
        <v>17</v>
      </c>
      <c r="O283" s="18">
        <f>COUNTIF(N281:O282,"✔")</f>
        <v>0</v>
      </c>
      <c r="P283" s="17" t="s">
        <v>18</v>
      </c>
      <c r="Q283" s="18">
        <f>COUNTIF(P281:Q282,"a")</f>
        <v>0</v>
      </c>
      <c r="R283" s="17" t="s">
        <v>17</v>
      </c>
      <c r="S283" s="18">
        <f>COUNTIF(R281:S282,"✔")</f>
        <v>0</v>
      </c>
      <c r="T283" s="17" t="s">
        <v>18</v>
      </c>
      <c r="U283" s="18">
        <f>COUNTIF(T281:U282,"a")</f>
        <v>0</v>
      </c>
      <c r="V283" s="17" t="s">
        <v>17</v>
      </c>
      <c r="W283" s="18">
        <f>COUNTIF(V281:W282,"✔")</f>
        <v>0</v>
      </c>
      <c r="X283" s="17" t="s">
        <v>18</v>
      </c>
      <c r="Y283" s="18">
        <f>COUNTIF(X281:Y282,"a")</f>
        <v>0</v>
      </c>
      <c r="Z283" s="8"/>
      <c r="AA283" s="8"/>
    </row>
    <row r="284" spans="1:27" ht="12.75">
      <c r="A284" s="8"/>
      <c r="B284" s="47" t="s">
        <v>109</v>
      </c>
      <c r="C284" s="48"/>
      <c r="D284" s="48"/>
      <c r="E284" s="49"/>
      <c r="F284" s="43"/>
      <c r="G284" s="43"/>
      <c r="H284" s="43"/>
      <c r="I284" s="43"/>
      <c r="J284" s="43"/>
      <c r="K284" s="45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8"/>
      <c r="AA284" s="8"/>
    </row>
    <row r="285" spans="1:27" ht="12.75">
      <c r="A285" s="8"/>
      <c r="B285" s="50"/>
      <c r="C285" s="51"/>
      <c r="D285" s="51"/>
      <c r="E285" s="52"/>
      <c r="F285" s="44"/>
      <c r="G285" s="44"/>
      <c r="H285" s="44"/>
      <c r="I285" s="44"/>
      <c r="J285" s="44"/>
      <c r="K285" s="36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8"/>
      <c r="AA285" s="8"/>
    </row>
    <row r="286" spans="1:27" ht="15">
      <c r="A286" s="8"/>
      <c r="B286" s="40"/>
      <c r="C286" s="41"/>
      <c r="D286" s="41"/>
      <c r="E286" s="42"/>
      <c r="F286" s="17" t="s">
        <v>17</v>
      </c>
      <c r="G286" s="18">
        <f>COUNTIF(F284:G285,"✔")</f>
        <v>0</v>
      </c>
      <c r="H286" s="17" t="s">
        <v>18</v>
      </c>
      <c r="I286" s="18">
        <f>COUNTIF(H284:I285,"a")</f>
        <v>0</v>
      </c>
      <c r="J286" s="17" t="s">
        <v>17</v>
      </c>
      <c r="K286" s="18">
        <f>COUNTIF(J284:K285,"✔")</f>
        <v>0</v>
      </c>
      <c r="L286" s="17" t="s">
        <v>18</v>
      </c>
      <c r="M286" s="18">
        <f>COUNTIF(L284:M285,"a")</f>
        <v>0</v>
      </c>
      <c r="N286" s="17" t="s">
        <v>17</v>
      </c>
      <c r="O286" s="18">
        <f>COUNTIF(N284:O285,"✔")</f>
        <v>0</v>
      </c>
      <c r="P286" s="17" t="s">
        <v>18</v>
      </c>
      <c r="Q286" s="18">
        <f>COUNTIF(P284:Q285,"a")</f>
        <v>0</v>
      </c>
      <c r="R286" s="17" t="s">
        <v>17</v>
      </c>
      <c r="S286" s="18">
        <f>COUNTIF(R284:S285,"✔")</f>
        <v>0</v>
      </c>
      <c r="T286" s="17" t="s">
        <v>18</v>
      </c>
      <c r="U286" s="18">
        <f>COUNTIF(T284:U285,"a")</f>
        <v>0</v>
      </c>
      <c r="V286" s="17" t="s">
        <v>17</v>
      </c>
      <c r="W286" s="18">
        <f>COUNTIF(V284:W285,"✔")</f>
        <v>0</v>
      </c>
      <c r="X286" s="17" t="s">
        <v>18</v>
      </c>
      <c r="Y286" s="18">
        <f>COUNTIF(X284:Y285,"a")</f>
        <v>0</v>
      </c>
      <c r="Z286" s="8"/>
      <c r="AA286" s="8"/>
    </row>
    <row r="287" spans="1:27" ht="12.75">
      <c r="A287" s="8"/>
      <c r="B287" s="47" t="s">
        <v>110</v>
      </c>
      <c r="C287" s="48"/>
      <c r="D287" s="48"/>
      <c r="E287" s="49"/>
      <c r="F287" s="43"/>
      <c r="G287" s="43"/>
      <c r="H287" s="43"/>
      <c r="I287" s="43"/>
      <c r="J287" s="43"/>
      <c r="K287" s="45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8"/>
      <c r="AA287" s="8"/>
    </row>
    <row r="288" spans="1:27" ht="12.75">
      <c r="A288" s="8"/>
      <c r="B288" s="50"/>
      <c r="C288" s="51"/>
      <c r="D288" s="51"/>
      <c r="E288" s="52"/>
      <c r="F288" s="44"/>
      <c r="G288" s="44"/>
      <c r="H288" s="44"/>
      <c r="I288" s="44"/>
      <c r="J288" s="44"/>
      <c r="K288" s="36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8"/>
      <c r="AA288" s="8"/>
    </row>
    <row r="289" spans="1:27" ht="15">
      <c r="A289" s="8"/>
      <c r="B289" s="40"/>
      <c r="C289" s="41"/>
      <c r="D289" s="41"/>
      <c r="E289" s="42"/>
      <c r="F289" s="17" t="s">
        <v>17</v>
      </c>
      <c r="G289" s="18">
        <f>COUNTIF(F287:G288,"✔")</f>
        <v>0</v>
      </c>
      <c r="H289" s="17" t="s">
        <v>18</v>
      </c>
      <c r="I289" s="18">
        <f>COUNTIF(H287:I288,"a")</f>
        <v>0</v>
      </c>
      <c r="J289" s="17" t="s">
        <v>17</v>
      </c>
      <c r="K289" s="18">
        <f>COUNTIF(J287:K288,"✔")</f>
        <v>0</v>
      </c>
      <c r="L289" s="17" t="s">
        <v>18</v>
      </c>
      <c r="M289" s="18">
        <f>COUNTIF(L287:M288,"a")</f>
        <v>0</v>
      </c>
      <c r="N289" s="17" t="s">
        <v>17</v>
      </c>
      <c r="O289" s="18">
        <f>COUNTIF(N287:O288,"✔")</f>
        <v>0</v>
      </c>
      <c r="P289" s="17" t="s">
        <v>18</v>
      </c>
      <c r="Q289" s="18">
        <f>COUNTIF(P287:Q288,"a")</f>
        <v>0</v>
      </c>
      <c r="R289" s="17" t="s">
        <v>17</v>
      </c>
      <c r="S289" s="18">
        <f>COUNTIF(R287:S288,"✔")</f>
        <v>0</v>
      </c>
      <c r="T289" s="17" t="s">
        <v>18</v>
      </c>
      <c r="U289" s="18">
        <f>COUNTIF(T287:U288,"a")</f>
        <v>0</v>
      </c>
      <c r="V289" s="17" t="s">
        <v>17</v>
      </c>
      <c r="W289" s="18">
        <f>COUNTIF(V287:W288,"✔")</f>
        <v>0</v>
      </c>
      <c r="X289" s="17" t="s">
        <v>18</v>
      </c>
      <c r="Y289" s="18">
        <f>COUNTIF(X287:Y288,"a")</f>
        <v>0</v>
      </c>
      <c r="Z289" s="8"/>
      <c r="AA289" s="8"/>
    </row>
    <row r="290" spans="1:27" ht="12.75">
      <c r="A290" s="8"/>
      <c r="B290" s="47" t="s">
        <v>111</v>
      </c>
      <c r="C290" s="48"/>
      <c r="D290" s="48"/>
      <c r="E290" s="49"/>
      <c r="F290" s="43"/>
      <c r="G290" s="43"/>
      <c r="H290" s="43"/>
      <c r="I290" s="43"/>
      <c r="J290" s="43"/>
      <c r="K290" s="45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8"/>
      <c r="AA290" s="8"/>
    </row>
    <row r="291" spans="1:27" ht="12.75">
      <c r="A291" s="8"/>
      <c r="B291" s="50"/>
      <c r="C291" s="51"/>
      <c r="D291" s="51"/>
      <c r="E291" s="52"/>
      <c r="F291" s="44"/>
      <c r="G291" s="44"/>
      <c r="H291" s="44"/>
      <c r="I291" s="44"/>
      <c r="J291" s="44"/>
      <c r="K291" s="36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8"/>
      <c r="AA291" s="8"/>
    </row>
    <row r="292" spans="1:27" ht="15">
      <c r="A292" s="8"/>
      <c r="B292" s="40"/>
      <c r="C292" s="41"/>
      <c r="D292" s="41"/>
      <c r="E292" s="42"/>
      <c r="F292" s="17" t="s">
        <v>17</v>
      </c>
      <c r="G292" s="18">
        <f>COUNTIF(F290:G291,"✔")</f>
        <v>0</v>
      </c>
      <c r="H292" s="17" t="s">
        <v>18</v>
      </c>
      <c r="I292" s="18">
        <f>COUNTIF(H290:I291,"a")</f>
        <v>0</v>
      </c>
      <c r="J292" s="17" t="s">
        <v>17</v>
      </c>
      <c r="K292" s="18">
        <f>COUNTIF(J290:K291,"✔")</f>
        <v>0</v>
      </c>
      <c r="L292" s="17" t="s">
        <v>18</v>
      </c>
      <c r="M292" s="18">
        <f>COUNTIF(L290:M291,"a")</f>
        <v>0</v>
      </c>
      <c r="N292" s="17" t="s">
        <v>17</v>
      </c>
      <c r="O292" s="18">
        <f>COUNTIF(N290:O291,"✔")</f>
        <v>0</v>
      </c>
      <c r="P292" s="17" t="s">
        <v>18</v>
      </c>
      <c r="Q292" s="18">
        <f>COUNTIF(P290:Q291,"a")</f>
        <v>0</v>
      </c>
      <c r="R292" s="17" t="s">
        <v>17</v>
      </c>
      <c r="S292" s="18">
        <f>COUNTIF(R290:S291,"✔")</f>
        <v>0</v>
      </c>
      <c r="T292" s="17" t="s">
        <v>18</v>
      </c>
      <c r="U292" s="18">
        <f>COUNTIF(T290:U291,"a")</f>
        <v>0</v>
      </c>
      <c r="V292" s="17" t="s">
        <v>17</v>
      </c>
      <c r="W292" s="18">
        <f>COUNTIF(V290:W291,"✔")</f>
        <v>0</v>
      </c>
      <c r="X292" s="17" t="s">
        <v>18</v>
      </c>
      <c r="Y292" s="18">
        <f>COUNTIF(X290:Y291,"a")</f>
        <v>0</v>
      </c>
      <c r="Z292" s="8"/>
      <c r="AA292" s="8"/>
    </row>
    <row r="293" spans="1:27" ht="12.75">
      <c r="A293" s="8"/>
      <c r="B293" s="47" t="s">
        <v>112</v>
      </c>
      <c r="C293" s="48"/>
      <c r="D293" s="48"/>
      <c r="E293" s="49"/>
      <c r="F293" s="43"/>
      <c r="G293" s="43"/>
      <c r="H293" s="43"/>
      <c r="I293" s="43"/>
      <c r="J293" s="43"/>
      <c r="K293" s="45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8"/>
      <c r="AA293" s="8"/>
    </row>
    <row r="294" spans="1:27" ht="12.75">
      <c r="A294" s="8"/>
      <c r="B294" s="50"/>
      <c r="C294" s="51"/>
      <c r="D294" s="51"/>
      <c r="E294" s="52"/>
      <c r="F294" s="44"/>
      <c r="G294" s="44"/>
      <c r="H294" s="44"/>
      <c r="I294" s="44"/>
      <c r="J294" s="44"/>
      <c r="K294" s="36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8"/>
      <c r="AA294" s="8"/>
    </row>
    <row r="295" spans="1:27" ht="15">
      <c r="A295" s="8"/>
      <c r="B295" s="40"/>
      <c r="C295" s="41"/>
      <c r="D295" s="41"/>
      <c r="E295" s="42"/>
      <c r="F295" s="17" t="s">
        <v>17</v>
      </c>
      <c r="G295" s="18">
        <f>COUNTIF(F293:G294,"✔")</f>
        <v>0</v>
      </c>
      <c r="H295" s="17" t="s">
        <v>18</v>
      </c>
      <c r="I295" s="18">
        <f>COUNTIF(H293:I294,"a")</f>
        <v>0</v>
      </c>
      <c r="J295" s="17" t="s">
        <v>17</v>
      </c>
      <c r="K295" s="18">
        <f>COUNTIF(J293:K294,"✔")</f>
        <v>0</v>
      </c>
      <c r="L295" s="17" t="s">
        <v>18</v>
      </c>
      <c r="M295" s="18">
        <f>COUNTIF(L293:M294,"a")</f>
        <v>0</v>
      </c>
      <c r="N295" s="17" t="s">
        <v>17</v>
      </c>
      <c r="O295" s="18">
        <f>COUNTIF(N293:O294,"✔")</f>
        <v>0</v>
      </c>
      <c r="P295" s="17" t="s">
        <v>18</v>
      </c>
      <c r="Q295" s="18">
        <f>COUNTIF(P293:Q294,"a")</f>
        <v>0</v>
      </c>
      <c r="R295" s="17" t="s">
        <v>17</v>
      </c>
      <c r="S295" s="18">
        <f>COUNTIF(R293:S294,"✔")</f>
        <v>0</v>
      </c>
      <c r="T295" s="17" t="s">
        <v>18</v>
      </c>
      <c r="U295" s="18">
        <f>COUNTIF(T293:U294,"a")</f>
        <v>0</v>
      </c>
      <c r="V295" s="17" t="s">
        <v>17</v>
      </c>
      <c r="W295" s="18">
        <f>COUNTIF(V293:W294,"✔")</f>
        <v>0</v>
      </c>
      <c r="X295" s="17" t="s">
        <v>18</v>
      </c>
      <c r="Y295" s="18">
        <f>COUNTIF(X293:Y294,"a")</f>
        <v>0</v>
      </c>
      <c r="Z295" s="8"/>
      <c r="AA295" s="8"/>
    </row>
    <row r="296" spans="1:27" ht="12.75">
      <c r="A296" s="8"/>
      <c r="B296" s="47" t="s">
        <v>113</v>
      </c>
      <c r="C296" s="48"/>
      <c r="D296" s="48"/>
      <c r="E296" s="49"/>
      <c r="F296" s="43"/>
      <c r="G296" s="43"/>
      <c r="H296" s="43"/>
      <c r="I296" s="43"/>
      <c r="J296" s="43"/>
      <c r="K296" s="45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8"/>
      <c r="AA296" s="8"/>
    </row>
    <row r="297" spans="1:27" ht="12.75">
      <c r="A297" s="8"/>
      <c r="B297" s="50"/>
      <c r="C297" s="51"/>
      <c r="D297" s="51"/>
      <c r="E297" s="52"/>
      <c r="F297" s="44"/>
      <c r="G297" s="44"/>
      <c r="H297" s="44"/>
      <c r="I297" s="44"/>
      <c r="J297" s="44"/>
      <c r="K297" s="36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8"/>
      <c r="AA297" s="8"/>
    </row>
    <row r="298" spans="1:27" ht="15">
      <c r="A298" s="8"/>
      <c r="B298" s="40"/>
      <c r="C298" s="41"/>
      <c r="D298" s="41"/>
      <c r="E298" s="42"/>
      <c r="F298" s="17" t="s">
        <v>17</v>
      </c>
      <c r="G298" s="18">
        <f>COUNTIF(F296:G297,"✔")</f>
        <v>0</v>
      </c>
      <c r="H298" s="17" t="s">
        <v>18</v>
      </c>
      <c r="I298" s="18">
        <f>COUNTIF(H296:I297,"a")</f>
        <v>0</v>
      </c>
      <c r="J298" s="17" t="s">
        <v>17</v>
      </c>
      <c r="K298" s="18">
        <f>COUNTIF(J296:K297,"✔")</f>
        <v>0</v>
      </c>
      <c r="L298" s="17" t="s">
        <v>18</v>
      </c>
      <c r="M298" s="18">
        <f>COUNTIF(L296:M297,"a")</f>
        <v>0</v>
      </c>
      <c r="N298" s="17" t="s">
        <v>17</v>
      </c>
      <c r="O298" s="18">
        <f>COUNTIF(N296:O297,"✔")</f>
        <v>0</v>
      </c>
      <c r="P298" s="17" t="s">
        <v>18</v>
      </c>
      <c r="Q298" s="18">
        <f>COUNTIF(P296:Q297,"a")</f>
        <v>0</v>
      </c>
      <c r="R298" s="17" t="s">
        <v>17</v>
      </c>
      <c r="S298" s="18">
        <f>COUNTIF(R296:S297,"✔")</f>
        <v>0</v>
      </c>
      <c r="T298" s="17" t="s">
        <v>18</v>
      </c>
      <c r="U298" s="18">
        <f>COUNTIF(T296:U297,"a")</f>
        <v>0</v>
      </c>
      <c r="V298" s="17" t="s">
        <v>17</v>
      </c>
      <c r="W298" s="18">
        <f>COUNTIF(V296:W297,"✔")</f>
        <v>0</v>
      </c>
      <c r="X298" s="17" t="s">
        <v>18</v>
      </c>
      <c r="Y298" s="18">
        <f>COUNTIF(X296:Y297,"a")</f>
        <v>0</v>
      </c>
      <c r="Z298" s="8"/>
      <c r="AA298" s="8"/>
    </row>
    <row r="299" spans="1:27" ht="12.75">
      <c r="A299" s="8"/>
      <c r="B299" s="47" t="s">
        <v>114</v>
      </c>
      <c r="C299" s="48"/>
      <c r="D299" s="48"/>
      <c r="E299" s="49"/>
      <c r="F299" s="43"/>
      <c r="G299" s="43"/>
      <c r="H299" s="43"/>
      <c r="I299" s="43"/>
      <c r="J299" s="43"/>
      <c r="K299" s="45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8"/>
      <c r="AA299" s="8"/>
    </row>
    <row r="300" spans="1:27" ht="12.75">
      <c r="A300" s="8"/>
      <c r="B300" s="50"/>
      <c r="C300" s="51"/>
      <c r="D300" s="51"/>
      <c r="E300" s="52"/>
      <c r="F300" s="44"/>
      <c r="G300" s="44"/>
      <c r="H300" s="44"/>
      <c r="I300" s="44"/>
      <c r="J300" s="44"/>
      <c r="K300" s="36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8"/>
      <c r="AA300" s="8"/>
    </row>
    <row r="301" spans="1:27" ht="15">
      <c r="A301" s="8"/>
      <c r="B301" s="40"/>
      <c r="C301" s="41"/>
      <c r="D301" s="41"/>
      <c r="E301" s="42"/>
      <c r="F301" s="17" t="s">
        <v>17</v>
      </c>
      <c r="G301" s="18">
        <f>COUNTIF(F299:G300,"✔")</f>
        <v>0</v>
      </c>
      <c r="H301" s="17" t="s">
        <v>18</v>
      </c>
      <c r="I301" s="18">
        <f>COUNTIF(H299:I300,"a")</f>
        <v>0</v>
      </c>
      <c r="J301" s="17" t="s">
        <v>17</v>
      </c>
      <c r="K301" s="18">
        <f>COUNTIF(J299:K300,"✔")</f>
        <v>0</v>
      </c>
      <c r="L301" s="17" t="s">
        <v>18</v>
      </c>
      <c r="M301" s="18">
        <f>COUNTIF(L299:M300,"a")</f>
        <v>0</v>
      </c>
      <c r="N301" s="17" t="s">
        <v>17</v>
      </c>
      <c r="O301" s="18">
        <f>COUNTIF(N299:O300,"✔")</f>
        <v>0</v>
      </c>
      <c r="P301" s="17" t="s">
        <v>18</v>
      </c>
      <c r="Q301" s="18">
        <f>COUNTIF(P299:Q300,"a")</f>
        <v>0</v>
      </c>
      <c r="R301" s="17" t="s">
        <v>17</v>
      </c>
      <c r="S301" s="18">
        <f>COUNTIF(R299:S300,"✔")</f>
        <v>0</v>
      </c>
      <c r="T301" s="17" t="s">
        <v>18</v>
      </c>
      <c r="U301" s="18">
        <f>COUNTIF(T299:U300,"a")</f>
        <v>0</v>
      </c>
      <c r="V301" s="17" t="s">
        <v>17</v>
      </c>
      <c r="W301" s="18">
        <f>COUNTIF(V299:W300,"✔")</f>
        <v>0</v>
      </c>
      <c r="X301" s="17" t="s">
        <v>18</v>
      </c>
      <c r="Y301" s="18">
        <f>COUNTIF(X299:Y300,"a")</f>
        <v>0</v>
      </c>
      <c r="Z301" s="8"/>
      <c r="AA301" s="8"/>
    </row>
    <row r="302" spans="1:27" ht="12.75">
      <c r="A302" s="8"/>
      <c r="B302" s="47" t="s">
        <v>115</v>
      </c>
      <c r="C302" s="48"/>
      <c r="D302" s="48"/>
      <c r="E302" s="49"/>
      <c r="F302" s="43"/>
      <c r="G302" s="43"/>
      <c r="H302" s="43"/>
      <c r="I302" s="43"/>
      <c r="J302" s="43"/>
      <c r="K302" s="45"/>
      <c r="L302" s="53"/>
      <c r="M302" s="43"/>
      <c r="N302" s="43"/>
      <c r="O302" s="43"/>
      <c r="P302" s="53"/>
      <c r="Q302" s="43"/>
      <c r="R302" s="43"/>
      <c r="S302" s="43"/>
      <c r="T302" s="43"/>
      <c r="U302" s="43"/>
      <c r="V302" s="43"/>
      <c r="W302" s="43"/>
      <c r="X302" s="43"/>
      <c r="Y302" s="43"/>
      <c r="Z302" s="8"/>
      <c r="AA302" s="8"/>
    </row>
    <row r="303" spans="1:27" ht="12.75">
      <c r="A303" s="8"/>
      <c r="B303" s="50"/>
      <c r="C303" s="51"/>
      <c r="D303" s="51"/>
      <c r="E303" s="52"/>
      <c r="F303" s="44"/>
      <c r="G303" s="44"/>
      <c r="H303" s="44"/>
      <c r="I303" s="44"/>
      <c r="J303" s="44"/>
      <c r="K303" s="36"/>
      <c r="L303" s="36"/>
      <c r="M303" s="44"/>
      <c r="N303" s="44"/>
      <c r="O303" s="44"/>
      <c r="P303" s="36"/>
      <c r="Q303" s="44"/>
      <c r="R303" s="44"/>
      <c r="S303" s="44"/>
      <c r="T303" s="44"/>
      <c r="U303" s="44"/>
      <c r="V303" s="44"/>
      <c r="W303" s="44"/>
      <c r="X303" s="44"/>
      <c r="Y303" s="44"/>
      <c r="Z303" s="8"/>
      <c r="AA303" s="8"/>
    </row>
    <row r="304" spans="1:27" ht="15">
      <c r="A304" s="8"/>
      <c r="B304" s="40"/>
      <c r="C304" s="41"/>
      <c r="D304" s="41"/>
      <c r="E304" s="42"/>
      <c r="F304" s="17" t="s">
        <v>17</v>
      </c>
      <c r="G304" s="18">
        <f>COUNTIF(F302:G303,"✔")</f>
        <v>0</v>
      </c>
      <c r="H304" s="17" t="s">
        <v>18</v>
      </c>
      <c r="I304" s="18">
        <f>COUNTIF(H302:I303,"a")</f>
        <v>0</v>
      </c>
      <c r="J304" s="17" t="s">
        <v>17</v>
      </c>
      <c r="K304" s="18">
        <f>COUNTIF(J302:K303,"✔")</f>
        <v>0</v>
      </c>
      <c r="L304" s="17" t="s">
        <v>18</v>
      </c>
      <c r="M304" s="18">
        <f>COUNTIF(L302:M303,"a")</f>
        <v>0</v>
      </c>
      <c r="N304" s="17" t="s">
        <v>17</v>
      </c>
      <c r="O304" s="18">
        <f>COUNTIF(N302:O303,"✔")</f>
        <v>0</v>
      </c>
      <c r="P304" s="17" t="s">
        <v>18</v>
      </c>
      <c r="Q304" s="18">
        <f>COUNTIF(P302:Q303,"a")</f>
        <v>0</v>
      </c>
      <c r="R304" s="17" t="s">
        <v>17</v>
      </c>
      <c r="S304" s="18">
        <f>COUNTIF(R302:S303,"✔")</f>
        <v>0</v>
      </c>
      <c r="T304" s="17" t="s">
        <v>18</v>
      </c>
      <c r="U304" s="18">
        <f>COUNTIF(T302:U303,"a")</f>
        <v>0</v>
      </c>
      <c r="V304" s="17" t="s">
        <v>17</v>
      </c>
      <c r="W304" s="18">
        <f>COUNTIF(V302:W303,"✔")</f>
        <v>0</v>
      </c>
      <c r="X304" s="17" t="s">
        <v>18</v>
      </c>
      <c r="Y304" s="18">
        <f>COUNTIF(X302:Y303,"a")</f>
        <v>0</v>
      </c>
      <c r="Z304" s="8"/>
      <c r="AA304" s="8"/>
    </row>
    <row r="305" spans="1:27" ht="12.75">
      <c r="A305" s="8"/>
      <c r="B305" s="47" t="s">
        <v>116</v>
      </c>
      <c r="C305" s="48"/>
      <c r="D305" s="48"/>
      <c r="E305" s="49"/>
      <c r="F305" s="43"/>
      <c r="G305" s="43"/>
      <c r="H305" s="43"/>
      <c r="I305" s="43"/>
      <c r="J305" s="43"/>
      <c r="K305" s="45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8"/>
      <c r="AA305" s="8"/>
    </row>
    <row r="306" spans="1:27" ht="12.75">
      <c r="A306" s="8"/>
      <c r="B306" s="50"/>
      <c r="C306" s="51"/>
      <c r="D306" s="51"/>
      <c r="E306" s="52"/>
      <c r="F306" s="44"/>
      <c r="G306" s="44"/>
      <c r="H306" s="44"/>
      <c r="I306" s="44"/>
      <c r="J306" s="44"/>
      <c r="K306" s="36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8"/>
      <c r="AA306" s="8"/>
    </row>
    <row r="307" spans="1:27" ht="15">
      <c r="A307" s="8"/>
      <c r="B307" s="40"/>
      <c r="C307" s="41"/>
      <c r="D307" s="41"/>
      <c r="E307" s="42"/>
      <c r="F307" s="17" t="s">
        <v>17</v>
      </c>
      <c r="G307" s="18">
        <f>COUNTIF(F305:G306,"✔")</f>
        <v>0</v>
      </c>
      <c r="H307" s="17" t="s">
        <v>18</v>
      </c>
      <c r="I307" s="18">
        <f>COUNTIF(H305:I306,"a")</f>
        <v>0</v>
      </c>
      <c r="J307" s="17" t="s">
        <v>17</v>
      </c>
      <c r="K307" s="18">
        <f>COUNTIF(J305:K306,"✔")</f>
        <v>0</v>
      </c>
      <c r="L307" s="17" t="s">
        <v>18</v>
      </c>
      <c r="M307" s="18">
        <f>COUNTIF(L305:M306,"a")</f>
        <v>0</v>
      </c>
      <c r="N307" s="17" t="s">
        <v>17</v>
      </c>
      <c r="O307" s="18">
        <f>COUNTIF(N305:O306,"✔")</f>
        <v>0</v>
      </c>
      <c r="P307" s="17" t="s">
        <v>18</v>
      </c>
      <c r="Q307" s="18">
        <f>COUNTIF(P305:Q306,"a")</f>
        <v>0</v>
      </c>
      <c r="R307" s="17" t="s">
        <v>17</v>
      </c>
      <c r="S307" s="18">
        <f>COUNTIF(R305:S306,"✔")</f>
        <v>0</v>
      </c>
      <c r="T307" s="17" t="s">
        <v>18</v>
      </c>
      <c r="U307" s="18">
        <f>COUNTIF(T305:U306,"a")</f>
        <v>0</v>
      </c>
      <c r="V307" s="17" t="s">
        <v>17</v>
      </c>
      <c r="W307" s="18">
        <f>COUNTIF(V305:W306,"✔")</f>
        <v>0</v>
      </c>
      <c r="X307" s="17" t="s">
        <v>18</v>
      </c>
      <c r="Y307" s="18">
        <f>COUNTIF(X305:Y306,"a")</f>
        <v>0</v>
      </c>
      <c r="Z307" s="8"/>
      <c r="AA307" s="8"/>
    </row>
    <row r="308" spans="1:27" ht="12.75">
      <c r="A308" s="8"/>
      <c r="B308" s="47" t="s">
        <v>117</v>
      </c>
      <c r="C308" s="48"/>
      <c r="D308" s="48"/>
      <c r="E308" s="49"/>
      <c r="F308" s="43"/>
      <c r="G308" s="43"/>
      <c r="H308" s="43"/>
      <c r="I308" s="43"/>
      <c r="J308" s="43"/>
      <c r="K308" s="45"/>
      <c r="L308" s="53"/>
      <c r="M308" s="43"/>
      <c r="N308" s="43"/>
      <c r="O308" s="43"/>
      <c r="P308" s="53"/>
      <c r="Q308" s="43"/>
      <c r="R308" s="43"/>
      <c r="S308" s="43"/>
      <c r="T308" s="43"/>
      <c r="U308" s="43"/>
      <c r="V308" s="43"/>
      <c r="W308" s="43"/>
      <c r="X308" s="43"/>
      <c r="Y308" s="43"/>
      <c r="Z308" s="8"/>
      <c r="AA308" s="8"/>
    </row>
    <row r="309" spans="1:27" ht="12.75">
      <c r="A309" s="8"/>
      <c r="B309" s="50"/>
      <c r="C309" s="51"/>
      <c r="D309" s="51"/>
      <c r="E309" s="52"/>
      <c r="F309" s="44"/>
      <c r="G309" s="44"/>
      <c r="H309" s="44"/>
      <c r="I309" s="44"/>
      <c r="J309" s="44"/>
      <c r="K309" s="36"/>
      <c r="L309" s="36"/>
      <c r="M309" s="44"/>
      <c r="N309" s="44"/>
      <c r="O309" s="44"/>
      <c r="P309" s="36"/>
      <c r="Q309" s="44"/>
      <c r="R309" s="44"/>
      <c r="S309" s="44"/>
      <c r="T309" s="44"/>
      <c r="U309" s="44"/>
      <c r="V309" s="44"/>
      <c r="W309" s="44"/>
      <c r="X309" s="44"/>
      <c r="Y309" s="44"/>
      <c r="Z309" s="8"/>
      <c r="AA309" s="8"/>
    </row>
    <row r="310" spans="1:27" ht="15">
      <c r="A310" s="8"/>
      <c r="B310" s="40"/>
      <c r="C310" s="41"/>
      <c r="D310" s="41"/>
      <c r="E310" s="42"/>
      <c r="F310" s="17" t="s">
        <v>17</v>
      </c>
      <c r="G310" s="18">
        <f>COUNTIF(F308:G309,"✔")</f>
        <v>0</v>
      </c>
      <c r="H310" s="17" t="s">
        <v>18</v>
      </c>
      <c r="I310" s="18">
        <f>COUNTIF(H308:I309,"a")</f>
        <v>0</v>
      </c>
      <c r="J310" s="17" t="s">
        <v>17</v>
      </c>
      <c r="K310" s="18">
        <f>COUNTIF(J308:K309,"✔")</f>
        <v>0</v>
      </c>
      <c r="L310" s="17" t="s">
        <v>18</v>
      </c>
      <c r="M310" s="18">
        <f>COUNTIF(L308:M309,"a")</f>
        <v>0</v>
      </c>
      <c r="N310" s="17" t="s">
        <v>17</v>
      </c>
      <c r="O310" s="18">
        <f>COUNTIF(N308:O309,"✔")</f>
        <v>0</v>
      </c>
      <c r="P310" s="17" t="s">
        <v>18</v>
      </c>
      <c r="Q310" s="18">
        <f>COUNTIF(P308:Q309,"a")</f>
        <v>0</v>
      </c>
      <c r="R310" s="17" t="s">
        <v>17</v>
      </c>
      <c r="S310" s="18">
        <f>COUNTIF(R308:S309,"✔")</f>
        <v>0</v>
      </c>
      <c r="T310" s="17" t="s">
        <v>18</v>
      </c>
      <c r="U310" s="18">
        <f>COUNTIF(T308:U309,"a")</f>
        <v>0</v>
      </c>
      <c r="V310" s="17" t="s">
        <v>17</v>
      </c>
      <c r="W310" s="18">
        <f>COUNTIF(V308:W309,"✔")</f>
        <v>0</v>
      </c>
      <c r="X310" s="17" t="s">
        <v>18</v>
      </c>
      <c r="Y310" s="18">
        <f>COUNTIF(X308:Y309,"a")</f>
        <v>0</v>
      </c>
      <c r="Z310" s="8"/>
      <c r="AA310" s="8"/>
    </row>
    <row r="311" spans="1:27" ht="12.75">
      <c r="A311" s="8"/>
      <c r="B311" s="47" t="s">
        <v>118</v>
      </c>
      <c r="C311" s="48"/>
      <c r="D311" s="48"/>
      <c r="E311" s="49"/>
      <c r="F311" s="43"/>
      <c r="G311" s="43"/>
      <c r="H311" s="43"/>
      <c r="I311" s="43"/>
      <c r="J311" s="43"/>
      <c r="K311" s="45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8"/>
      <c r="AA311" s="8"/>
    </row>
    <row r="312" spans="1:27" ht="12.75">
      <c r="A312" s="8"/>
      <c r="B312" s="50"/>
      <c r="C312" s="51"/>
      <c r="D312" s="51"/>
      <c r="E312" s="52"/>
      <c r="F312" s="44"/>
      <c r="G312" s="44"/>
      <c r="H312" s="44"/>
      <c r="I312" s="44"/>
      <c r="J312" s="44"/>
      <c r="K312" s="36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8"/>
      <c r="AA312" s="8"/>
    </row>
    <row r="313" spans="1:27" ht="15">
      <c r="A313" s="8"/>
      <c r="B313" s="40"/>
      <c r="C313" s="41"/>
      <c r="D313" s="41"/>
      <c r="E313" s="42"/>
      <c r="F313" s="17" t="s">
        <v>17</v>
      </c>
      <c r="G313" s="18">
        <f>COUNTIF(F311:G312,"✔")</f>
        <v>0</v>
      </c>
      <c r="H313" s="17" t="s">
        <v>18</v>
      </c>
      <c r="I313" s="18">
        <f>COUNTIF(H311:I312,"a")</f>
        <v>0</v>
      </c>
      <c r="J313" s="17" t="s">
        <v>17</v>
      </c>
      <c r="K313" s="18">
        <f>COUNTIF(J311:K312,"✔")</f>
        <v>0</v>
      </c>
      <c r="L313" s="17" t="s">
        <v>18</v>
      </c>
      <c r="M313" s="18">
        <f>COUNTIF(L311:M312,"a")</f>
        <v>0</v>
      </c>
      <c r="N313" s="17" t="s">
        <v>17</v>
      </c>
      <c r="O313" s="18">
        <f>COUNTIF(N311:O312,"✔")</f>
        <v>0</v>
      </c>
      <c r="P313" s="17" t="s">
        <v>18</v>
      </c>
      <c r="Q313" s="18">
        <f>COUNTIF(P311:Q312,"a")</f>
        <v>0</v>
      </c>
      <c r="R313" s="17" t="s">
        <v>17</v>
      </c>
      <c r="S313" s="18">
        <f>COUNTIF(R311:S312,"✔")</f>
        <v>0</v>
      </c>
      <c r="T313" s="17" t="s">
        <v>18</v>
      </c>
      <c r="U313" s="18">
        <f>COUNTIF(T311:U312,"a")</f>
        <v>0</v>
      </c>
      <c r="V313" s="17" t="s">
        <v>17</v>
      </c>
      <c r="W313" s="18">
        <f>COUNTIF(V311:W312,"✔")</f>
        <v>0</v>
      </c>
      <c r="X313" s="17" t="s">
        <v>18</v>
      </c>
      <c r="Y313" s="18">
        <f>COUNTIF(X311:Y312,"a")</f>
        <v>0</v>
      </c>
      <c r="Z313" s="8"/>
      <c r="AA313" s="8"/>
    </row>
    <row r="314" spans="1:27" ht="12.75">
      <c r="A314" s="8"/>
      <c r="B314" s="47" t="s">
        <v>119</v>
      </c>
      <c r="C314" s="48"/>
      <c r="D314" s="48"/>
      <c r="E314" s="49"/>
      <c r="F314" s="43"/>
      <c r="G314" s="43"/>
      <c r="H314" s="43"/>
      <c r="I314" s="43"/>
      <c r="J314" s="43"/>
      <c r="K314" s="45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8"/>
      <c r="AA314" s="8"/>
    </row>
    <row r="315" spans="1:27" ht="12.75">
      <c r="A315" s="8"/>
      <c r="B315" s="50"/>
      <c r="C315" s="51"/>
      <c r="D315" s="51"/>
      <c r="E315" s="52"/>
      <c r="F315" s="44"/>
      <c r="G315" s="44"/>
      <c r="H315" s="44"/>
      <c r="I315" s="44"/>
      <c r="J315" s="44"/>
      <c r="K315" s="36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8"/>
      <c r="AA315" s="8"/>
    </row>
    <row r="316" spans="1:27" ht="15">
      <c r="A316" s="8"/>
      <c r="B316" s="40"/>
      <c r="C316" s="41"/>
      <c r="D316" s="41"/>
      <c r="E316" s="42"/>
      <c r="F316" s="17" t="s">
        <v>17</v>
      </c>
      <c r="G316" s="18">
        <f>COUNTIF(F314:G315,"✔")</f>
        <v>0</v>
      </c>
      <c r="H316" s="17" t="s">
        <v>18</v>
      </c>
      <c r="I316" s="18">
        <f>COUNTIF(H314:I315,"a")</f>
        <v>0</v>
      </c>
      <c r="J316" s="17" t="s">
        <v>17</v>
      </c>
      <c r="K316" s="18">
        <f>COUNTIF(J314:K315,"✔")</f>
        <v>0</v>
      </c>
      <c r="L316" s="17" t="s">
        <v>18</v>
      </c>
      <c r="M316" s="18">
        <f>COUNTIF(L314:M315,"a")</f>
        <v>0</v>
      </c>
      <c r="N316" s="17" t="s">
        <v>17</v>
      </c>
      <c r="O316" s="18">
        <f>COUNTIF(N314:O315,"✔")</f>
        <v>0</v>
      </c>
      <c r="P316" s="17" t="s">
        <v>18</v>
      </c>
      <c r="Q316" s="18">
        <f>COUNTIF(P314:Q315,"a")</f>
        <v>0</v>
      </c>
      <c r="R316" s="17" t="s">
        <v>17</v>
      </c>
      <c r="S316" s="18">
        <f>COUNTIF(R314:S315,"✔")</f>
        <v>0</v>
      </c>
      <c r="T316" s="17" t="s">
        <v>18</v>
      </c>
      <c r="U316" s="18">
        <f>COUNTIF(T314:U315,"a")</f>
        <v>0</v>
      </c>
      <c r="V316" s="17" t="s">
        <v>17</v>
      </c>
      <c r="W316" s="18">
        <f>COUNTIF(V314:W315,"✔")</f>
        <v>0</v>
      </c>
      <c r="X316" s="17" t="s">
        <v>18</v>
      </c>
      <c r="Y316" s="18">
        <f>COUNTIF(X314:Y315,"a")</f>
        <v>0</v>
      </c>
      <c r="Z316" s="8"/>
      <c r="AA316" s="8"/>
    </row>
    <row r="317" spans="1:27" ht="12.75">
      <c r="A317" s="8"/>
      <c r="B317" s="47" t="s">
        <v>120</v>
      </c>
      <c r="C317" s="48"/>
      <c r="D317" s="48"/>
      <c r="E317" s="49"/>
      <c r="F317" s="43"/>
      <c r="G317" s="43"/>
      <c r="H317" s="43"/>
      <c r="I317" s="43"/>
      <c r="J317" s="43"/>
      <c r="K317" s="45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8"/>
      <c r="AA317" s="8"/>
    </row>
    <row r="318" spans="1:27" ht="12.75">
      <c r="A318" s="8"/>
      <c r="B318" s="50"/>
      <c r="C318" s="51"/>
      <c r="D318" s="51"/>
      <c r="E318" s="52"/>
      <c r="F318" s="44"/>
      <c r="G318" s="44"/>
      <c r="H318" s="44"/>
      <c r="I318" s="44"/>
      <c r="J318" s="44"/>
      <c r="K318" s="36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8"/>
      <c r="AA318" s="8"/>
    </row>
    <row r="319" spans="1:27" ht="15">
      <c r="A319" s="8"/>
      <c r="B319" s="40"/>
      <c r="C319" s="41"/>
      <c r="D319" s="41"/>
      <c r="E319" s="42"/>
      <c r="F319" s="17" t="s">
        <v>17</v>
      </c>
      <c r="G319" s="18">
        <f>COUNTIF(F317:G318,"✔")</f>
        <v>0</v>
      </c>
      <c r="H319" s="17" t="s">
        <v>18</v>
      </c>
      <c r="I319" s="18">
        <f>COUNTIF(H317:I318,"a")</f>
        <v>0</v>
      </c>
      <c r="J319" s="17" t="s">
        <v>17</v>
      </c>
      <c r="K319" s="18">
        <f>COUNTIF(J317:K318,"✔")</f>
        <v>0</v>
      </c>
      <c r="L319" s="17" t="s">
        <v>18</v>
      </c>
      <c r="M319" s="18">
        <f>COUNTIF(L317:M318,"a")</f>
        <v>0</v>
      </c>
      <c r="N319" s="17" t="s">
        <v>17</v>
      </c>
      <c r="O319" s="18">
        <f>COUNTIF(N317:O318,"✔")</f>
        <v>0</v>
      </c>
      <c r="P319" s="17" t="s">
        <v>18</v>
      </c>
      <c r="Q319" s="18">
        <f>COUNTIF(P317:Q318,"a")</f>
        <v>0</v>
      </c>
      <c r="R319" s="17" t="s">
        <v>17</v>
      </c>
      <c r="S319" s="18">
        <f>COUNTIF(R317:S318,"✔")</f>
        <v>0</v>
      </c>
      <c r="T319" s="17" t="s">
        <v>18</v>
      </c>
      <c r="U319" s="18">
        <f>COUNTIF(T317:U318,"a")</f>
        <v>0</v>
      </c>
      <c r="V319" s="17" t="s">
        <v>17</v>
      </c>
      <c r="W319" s="18">
        <f>COUNTIF(V317:W318,"✔")</f>
        <v>0</v>
      </c>
      <c r="X319" s="17" t="s">
        <v>18</v>
      </c>
      <c r="Y319" s="18">
        <f>COUNTIF(X317:Y318,"a")</f>
        <v>0</v>
      </c>
      <c r="Z319" s="8"/>
      <c r="AA319" s="8"/>
    </row>
    <row r="320" spans="1:27" ht="12.75">
      <c r="A320" s="8"/>
      <c r="B320" s="47" t="s">
        <v>121</v>
      </c>
      <c r="C320" s="48"/>
      <c r="D320" s="48"/>
      <c r="E320" s="49"/>
      <c r="F320" s="43"/>
      <c r="G320" s="43"/>
      <c r="H320" s="43"/>
      <c r="I320" s="43"/>
      <c r="J320" s="43"/>
      <c r="K320" s="45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8"/>
      <c r="AA320" s="8"/>
    </row>
    <row r="321" spans="1:27" ht="12.75">
      <c r="A321" s="8"/>
      <c r="B321" s="50"/>
      <c r="C321" s="51"/>
      <c r="D321" s="51"/>
      <c r="E321" s="52"/>
      <c r="F321" s="44"/>
      <c r="G321" s="44"/>
      <c r="H321" s="44"/>
      <c r="I321" s="44"/>
      <c r="J321" s="44"/>
      <c r="K321" s="36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8"/>
      <c r="AA321" s="8"/>
    </row>
    <row r="322" spans="1:27" ht="15">
      <c r="A322" s="8"/>
      <c r="B322" s="40"/>
      <c r="C322" s="41"/>
      <c r="D322" s="41"/>
      <c r="E322" s="42"/>
      <c r="F322" s="17" t="s">
        <v>17</v>
      </c>
      <c r="G322" s="18">
        <f>COUNTIF(F320:G321,"✔")</f>
        <v>0</v>
      </c>
      <c r="H322" s="17" t="s">
        <v>18</v>
      </c>
      <c r="I322" s="18">
        <f>COUNTIF(H320:I321,"a")</f>
        <v>0</v>
      </c>
      <c r="J322" s="17" t="s">
        <v>17</v>
      </c>
      <c r="K322" s="18">
        <f>COUNTIF(J320:K321,"✔")</f>
        <v>0</v>
      </c>
      <c r="L322" s="17" t="s">
        <v>18</v>
      </c>
      <c r="M322" s="18">
        <f>COUNTIF(L320:M321,"a")</f>
        <v>0</v>
      </c>
      <c r="N322" s="17" t="s">
        <v>17</v>
      </c>
      <c r="O322" s="18">
        <f>COUNTIF(N320:O321,"✔")</f>
        <v>0</v>
      </c>
      <c r="P322" s="17" t="s">
        <v>18</v>
      </c>
      <c r="Q322" s="18">
        <f>COUNTIF(P320:Q321,"a")</f>
        <v>0</v>
      </c>
      <c r="R322" s="17" t="s">
        <v>17</v>
      </c>
      <c r="S322" s="18">
        <f>COUNTIF(R320:S321,"✔")</f>
        <v>0</v>
      </c>
      <c r="T322" s="17" t="s">
        <v>18</v>
      </c>
      <c r="U322" s="18">
        <f>COUNTIF(T320:U321,"a")</f>
        <v>0</v>
      </c>
      <c r="V322" s="17" t="s">
        <v>17</v>
      </c>
      <c r="W322" s="18">
        <f>COUNTIF(V320:W321,"✔")</f>
        <v>0</v>
      </c>
      <c r="X322" s="17" t="s">
        <v>18</v>
      </c>
      <c r="Y322" s="18">
        <f>COUNTIF(X320:Y321,"a")</f>
        <v>0</v>
      </c>
      <c r="Z322" s="8"/>
      <c r="AA322" s="8"/>
    </row>
    <row r="323" spans="1:27" ht="12.75">
      <c r="A323" s="8"/>
      <c r="B323" s="47" t="s">
        <v>122</v>
      </c>
      <c r="C323" s="48"/>
      <c r="D323" s="48"/>
      <c r="E323" s="49"/>
      <c r="F323" s="43"/>
      <c r="G323" s="43"/>
      <c r="H323" s="43"/>
      <c r="I323" s="43"/>
      <c r="J323" s="43"/>
      <c r="K323" s="45"/>
      <c r="L323" s="53"/>
      <c r="M323" s="43"/>
      <c r="N323" s="43"/>
      <c r="O323" s="43"/>
      <c r="P323" s="53"/>
      <c r="Q323" s="43"/>
      <c r="R323" s="43"/>
      <c r="S323" s="43"/>
      <c r="T323" s="43"/>
      <c r="U323" s="43"/>
      <c r="V323" s="43"/>
      <c r="W323" s="43"/>
      <c r="X323" s="43"/>
      <c r="Y323" s="43"/>
      <c r="Z323" s="8"/>
      <c r="AA323" s="8"/>
    </row>
    <row r="324" spans="1:27" ht="12.75">
      <c r="A324" s="8"/>
      <c r="B324" s="50"/>
      <c r="C324" s="51"/>
      <c r="D324" s="51"/>
      <c r="E324" s="52"/>
      <c r="F324" s="44"/>
      <c r="G324" s="44"/>
      <c r="H324" s="44"/>
      <c r="I324" s="44"/>
      <c r="J324" s="44"/>
      <c r="K324" s="36"/>
      <c r="L324" s="36"/>
      <c r="M324" s="44"/>
      <c r="N324" s="44"/>
      <c r="O324" s="44"/>
      <c r="P324" s="36"/>
      <c r="Q324" s="44"/>
      <c r="R324" s="44"/>
      <c r="S324" s="44"/>
      <c r="T324" s="44"/>
      <c r="U324" s="44"/>
      <c r="V324" s="44"/>
      <c r="W324" s="44"/>
      <c r="X324" s="44"/>
      <c r="Y324" s="44"/>
      <c r="Z324" s="8"/>
      <c r="AA324" s="8"/>
    </row>
    <row r="325" spans="1:27" ht="15">
      <c r="A325" s="8"/>
      <c r="B325" s="40"/>
      <c r="C325" s="41"/>
      <c r="D325" s="41"/>
      <c r="E325" s="42"/>
      <c r="F325" s="17" t="s">
        <v>17</v>
      </c>
      <c r="G325" s="18">
        <f>COUNTIF(F323:G324,"✔")</f>
        <v>0</v>
      </c>
      <c r="H325" s="17" t="s">
        <v>18</v>
      </c>
      <c r="I325" s="18">
        <f>COUNTIF(H323:I324,"a")</f>
        <v>0</v>
      </c>
      <c r="J325" s="17" t="s">
        <v>17</v>
      </c>
      <c r="K325" s="18">
        <f>COUNTIF(J323:K324,"✔")</f>
        <v>0</v>
      </c>
      <c r="L325" s="17" t="s">
        <v>18</v>
      </c>
      <c r="M325" s="18">
        <f>COUNTIF(L323:M324,"a")</f>
        <v>0</v>
      </c>
      <c r="N325" s="17" t="s">
        <v>17</v>
      </c>
      <c r="O325" s="18">
        <f>COUNTIF(N323:O324,"✔")</f>
        <v>0</v>
      </c>
      <c r="P325" s="17" t="s">
        <v>18</v>
      </c>
      <c r="Q325" s="18">
        <f>COUNTIF(P323:Q324,"a")</f>
        <v>0</v>
      </c>
      <c r="R325" s="17" t="s">
        <v>17</v>
      </c>
      <c r="S325" s="18">
        <f>COUNTIF(R323:S324,"✔")</f>
        <v>0</v>
      </c>
      <c r="T325" s="17" t="s">
        <v>18</v>
      </c>
      <c r="U325" s="18">
        <f>COUNTIF(T323:U324,"a")</f>
        <v>0</v>
      </c>
      <c r="V325" s="17" t="s">
        <v>17</v>
      </c>
      <c r="W325" s="18">
        <f>COUNTIF(V323:W324,"✔")</f>
        <v>0</v>
      </c>
      <c r="X325" s="17" t="s">
        <v>18</v>
      </c>
      <c r="Y325" s="18">
        <f>COUNTIF(X323:Y324,"a")</f>
        <v>0</v>
      </c>
      <c r="Z325" s="8"/>
      <c r="AA325" s="8"/>
    </row>
    <row r="326" spans="1:27" ht="12.75">
      <c r="A326" s="8"/>
      <c r="B326" s="47" t="s">
        <v>123</v>
      </c>
      <c r="C326" s="48"/>
      <c r="D326" s="48"/>
      <c r="E326" s="49"/>
      <c r="F326" s="43"/>
      <c r="G326" s="43"/>
      <c r="H326" s="43"/>
      <c r="I326" s="43"/>
      <c r="J326" s="43"/>
      <c r="K326" s="45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8"/>
      <c r="AA326" s="8"/>
    </row>
    <row r="327" spans="1:27" ht="12.75">
      <c r="A327" s="8"/>
      <c r="B327" s="50"/>
      <c r="C327" s="51"/>
      <c r="D327" s="51"/>
      <c r="E327" s="52"/>
      <c r="F327" s="44"/>
      <c r="G327" s="44"/>
      <c r="H327" s="44"/>
      <c r="I327" s="44"/>
      <c r="J327" s="44"/>
      <c r="K327" s="36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8"/>
      <c r="AA327" s="8"/>
    </row>
    <row r="328" spans="1:27" ht="15">
      <c r="A328" s="8"/>
      <c r="B328" s="40"/>
      <c r="C328" s="41"/>
      <c r="D328" s="41"/>
      <c r="E328" s="42"/>
      <c r="F328" s="17" t="s">
        <v>17</v>
      </c>
      <c r="G328" s="18">
        <f>COUNTIF(F326:G327,"✔")</f>
        <v>0</v>
      </c>
      <c r="H328" s="17" t="s">
        <v>18</v>
      </c>
      <c r="I328" s="18">
        <f>COUNTIF(H326:I327,"a")</f>
        <v>0</v>
      </c>
      <c r="J328" s="17" t="s">
        <v>17</v>
      </c>
      <c r="K328" s="18">
        <f>COUNTIF(J326:K327,"✔")</f>
        <v>0</v>
      </c>
      <c r="L328" s="17" t="s">
        <v>18</v>
      </c>
      <c r="M328" s="18">
        <f>COUNTIF(L326:M327,"a")</f>
        <v>0</v>
      </c>
      <c r="N328" s="17" t="s">
        <v>17</v>
      </c>
      <c r="O328" s="18">
        <f>COUNTIF(N326:O327,"✔")</f>
        <v>0</v>
      </c>
      <c r="P328" s="17" t="s">
        <v>18</v>
      </c>
      <c r="Q328" s="18">
        <f>COUNTIF(P326:Q327,"a")</f>
        <v>0</v>
      </c>
      <c r="R328" s="17" t="s">
        <v>17</v>
      </c>
      <c r="S328" s="18">
        <f>COUNTIF(R326:S327,"✔")</f>
        <v>0</v>
      </c>
      <c r="T328" s="17" t="s">
        <v>18</v>
      </c>
      <c r="U328" s="18">
        <f>COUNTIF(T326:U327,"a")</f>
        <v>0</v>
      </c>
      <c r="V328" s="17" t="s">
        <v>17</v>
      </c>
      <c r="W328" s="18">
        <f>COUNTIF(V326:W327,"✔")</f>
        <v>0</v>
      </c>
      <c r="X328" s="17" t="s">
        <v>18</v>
      </c>
      <c r="Y328" s="18">
        <f>COUNTIF(X326:Y327,"a")</f>
        <v>0</v>
      </c>
      <c r="Z328" s="8"/>
      <c r="AA328" s="8"/>
    </row>
    <row r="329" spans="1:27" ht="12.75">
      <c r="A329" s="8"/>
      <c r="B329" s="47" t="s">
        <v>124</v>
      </c>
      <c r="C329" s="48"/>
      <c r="D329" s="48"/>
      <c r="E329" s="49"/>
      <c r="F329" s="43"/>
      <c r="G329" s="43"/>
      <c r="H329" s="43"/>
      <c r="I329" s="43"/>
      <c r="J329" s="43"/>
      <c r="K329" s="45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8"/>
      <c r="AA329" s="8"/>
    </row>
    <row r="330" spans="1:27" ht="12.75">
      <c r="A330" s="8"/>
      <c r="B330" s="50"/>
      <c r="C330" s="51"/>
      <c r="D330" s="51"/>
      <c r="E330" s="52"/>
      <c r="F330" s="44"/>
      <c r="G330" s="44"/>
      <c r="H330" s="44"/>
      <c r="I330" s="44"/>
      <c r="J330" s="44"/>
      <c r="K330" s="36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8"/>
      <c r="AA330" s="8"/>
    </row>
    <row r="331" spans="1:27" ht="15">
      <c r="A331" s="8"/>
      <c r="B331" s="40"/>
      <c r="C331" s="41"/>
      <c r="D331" s="41"/>
      <c r="E331" s="42"/>
      <c r="F331" s="17" t="s">
        <v>17</v>
      </c>
      <c r="G331" s="18">
        <f>COUNTIF(F329:G330,"✔")</f>
        <v>0</v>
      </c>
      <c r="H331" s="17" t="s">
        <v>18</v>
      </c>
      <c r="I331" s="18">
        <f>COUNTIF(H329:I330,"a")</f>
        <v>0</v>
      </c>
      <c r="J331" s="17" t="s">
        <v>17</v>
      </c>
      <c r="K331" s="18">
        <f>COUNTIF(J329:K330,"✔")</f>
        <v>0</v>
      </c>
      <c r="L331" s="17" t="s">
        <v>18</v>
      </c>
      <c r="M331" s="18">
        <f>COUNTIF(L329:M330,"a")</f>
        <v>0</v>
      </c>
      <c r="N331" s="17" t="s">
        <v>17</v>
      </c>
      <c r="O331" s="18">
        <f>COUNTIF(N329:O330,"✔")</f>
        <v>0</v>
      </c>
      <c r="P331" s="17" t="s">
        <v>18</v>
      </c>
      <c r="Q331" s="18">
        <f>COUNTIF(P329:Q330,"a")</f>
        <v>0</v>
      </c>
      <c r="R331" s="17" t="s">
        <v>17</v>
      </c>
      <c r="S331" s="18">
        <f>COUNTIF(R329:S330,"✔")</f>
        <v>0</v>
      </c>
      <c r="T331" s="17" t="s">
        <v>18</v>
      </c>
      <c r="U331" s="18">
        <f>COUNTIF(T329:U330,"a")</f>
        <v>0</v>
      </c>
      <c r="V331" s="17" t="s">
        <v>17</v>
      </c>
      <c r="W331" s="18">
        <f>COUNTIF(V329:W330,"✔")</f>
        <v>0</v>
      </c>
      <c r="X331" s="17" t="s">
        <v>18</v>
      </c>
      <c r="Y331" s="18">
        <f>COUNTIF(X329:Y330,"a")</f>
        <v>0</v>
      </c>
      <c r="Z331" s="8"/>
      <c r="AA331" s="8"/>
    </row>
    <row r="332" spans="1:27" ht="12.75">
      <c r="A332" s="8"/>
      <c r="B332" s="47" t="s">
        <v>125</v>
      </c>
      <c r="C332" s="48"/>
      <c r="D332" s="48"/>
      <c r="E332" s="49"/>
      <c r="F332" s="43"/>
      <c r="G332" s="43"/>
      <c r="H332" s="43"/>
      <c r="I332" s="43"/>
      <c r="J332" s="43"/>
      <c r="K332" s="45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8"/>
      <c r="AA332" s="8"/>
    </row>
    <row r="333" spans="1:27" ht="12.75">
      <c r="A333" s="8"/>
      <c r="B333" s="50"/>
      <c r="C333" s="51"/>
      <c r="D333" s="51"/>
      <c r="E333" s="52"/>
      <c r="F333" s="44"/>
      <c r="G333" s="44"/>
      <c r="H333" s="44"/>
      <c r="I333" s="44"/>
      <c r="J333" s="44"/>
      <c r="K333" s="36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8"/>
      <c r="AA333" s="8"/>
    </row>
    <row r="334" spans="1:27" ht="15">
      <c r="A334" s="8"/>
      <c r="B334" s="40"/>
      <c r="C334" s="41"/>
      <c r="D334" s="41"/>
      <c r="E334" s="42"/>
      <c r="F334" s="17" t="s">
        <v>17</v>
      </c>
      <c r="G334" s="18">
        <f>COUNTIF(F332:G333,"✔")</f>
        <v>0</v>
      </c>
      <c r="H334" s="17" t="s">
        <v>18</v>
      </c>
      <c r="I334" s="18">
        <f>COUNTIF(H332:I333,"a")</f>
        <v>0</v>
      </c>
      <c r="J334" s="17" t="s">
        <v>17</v>
      </c>
      <c r="K334" s="18">
        <f>COUNTIF(J332:K333,"✔")</f>
        <v>0</v>
      </c>
      <c r="L334" s="17" t="s">
        <v>18</v>
      </c>
      <c r="M334" s="18">
        <f>COUNTIF(L332:M333,"a")</f>
        <v>0</v>
      </c>
      <c r="N334" s="17" t="s">
        <v>17</v>
      </c>
      <c r="O334" s="18">
        <f>COUNTIF(N332:O333,"✔")</f>
        <v>0</v>
      </c>
      <c r="P334" s="17" t="s">
        <v>18</v>
      </c>
      <c r="Q334" s="18">
        <f>COUNTIF(P332:Q333,"a")</f>
        <v>0</v>
      </c>
      <c r="R334" s="17" t="s">
        <v>17</v>
      </c>
      <c r="S334" s="18">
        <f>COUNTIF(R332:S333,"✔")</f>
        <v>0</v>
      </c>
      <c r="T334" s="17" t="s">
        <v>18</v>
      </c>
      <c r="U334" s="18">
        <f>COUNTIF(T332:U333,"a")</f>
        <v>0</v>
      </c>
      <c r="V334" s="17" t="s">
        <v>17</v>
      </c>
      <c r="W334" s="18">
        <f>COUNTIF(V332:W333,"✔")</f>
        <v>0</v>
      </c>
      <c r="X334" s="17" t="s">
        <v>18</v>
      </c>
      <c r="Y334" s="18">
        <f>COUNTIF(X332:Y333,"a")</f>
        <v>0</v>
      </c>
      <c r="Z334" s="8"/>
      <c r="AA334" s="8"/>
    </row>
    <row r="335" spans="1:27" ht="12.75">
      <c r="A335" s="8"/>
      <c r="B335" s="47" t="s">
        <v>126</v>
      </c>
      <c r="C335" s="48"/>
      <c r="D335" s="48"/>
      <c r="E335" s="49"/>
      <c r="F335" s="43"/>
      <c r="G335" s="43"/>
      <c r="H335" s="43"/>
      <c r="I335" s="43"/>
      <c r="J335" s="43"/>
      <c r="K335" s="45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8"/>
      <c r="AA335" s="8"/>
    </row>
    <row r="336" spans="1:27" ht="12.75">
      <c r="A336" s="8"/>
      <c r="B336" s="50"/>
      <c r="C336" s="51"/>
      <c r="D336" s="51"/>
      <c r="E336" s="52"/>
      <c r="F336" s="44"/>
      <c r="G336" s="44"/>
      <c r="H336" s="44"/>
      <c r="I336" s="44"/>
      <c r="J336" s="44"/>
      <c r="K336" s="36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8"/>
      <c r="AA336" s="8"/>
    </row>
    <row r="337" spans="1:27" ht="15">
      <c r="A337" s="8"/>
      <c r="B337" s="40"/>
      <c r="C337" s="41"/>
      <c r="D337" s="41"/>
      <c r="E337" s="42"/>
      <c r="F337" s="17" t="s">
        <v>17</v>
      </c>
      <c r="G337" s="18">
        <f>COUNTIF(F335:G336,"✔")</f>
        <v>0</v>
      </c>
      <c r="H337" s="17" t="s">
        <v>18</v>
      </c>
      <c r="I337" s="18">
        <f>COUNTIF(H335:I336,"a")</f>
        <v>0</v>
      </c>
      <c r="J337" s="17" t="s">
        <v>17</v>
      </c>
      <c r="K337" s="18">
        <f>COUNTIF(J335:K336,"✔")</f>
        <v>0</v>
      </c>
      <c r="L337" s="17" t="s">
        <v>18</v>
      </c>
      <c r="M337" s="18">
        <f>COUNTIF(L335:M336,"a")</f>
        <v>0</v>
      </c>
      <c r="N337" s="17" t="s">
        <v>17</v>
      </c>
      <c r="O337" s="18">
        <f>COUNTIF(N335:O336,"✔")</f>
        <v>0</v>
      </c>
      <c r="P337" s="17" t="s">
        <v>18</v>
      </c>
      <c r="Q337" s="18">
        <f>COUNTIF(P335:Q336,"a")</f>
        <v>0</v>
      </c>
      <c r="R337" s="17" t="s">
        <v>17</v>
      </c>
      <c r="S337" s="18">
        <f>COUNTIF(R335:S336,"✔")</f>
        <v>0</v>
      </c>
      <c r="T337" s="17" t="s">
        <v>18</v>
      </c>
      <c r="U337" s="18">
        <f>COUNTIF(T335:U336,"a")</f>
        <v>0</v>
      </c>
      <c r="V337" s="17" t="s">
        <v>17</v>
      </c>
      <c r="W337" s="18">
        <f>COUNTIF(V335:W336,"✔")</f>
        <v>0</v>
      </c>
      <c r="X337" s="17" t="s">
        <v>18</v>
      </c>
      <c r="Y337" s="18">
        <f>COUNTIF(X335:Y336,"a")</f>
        <v>0</v>
      </c>
      <c r="Z337" s="8"/>
      <c r="AA337" s="8"/>
    </row>
    <row r="338" spans="1:27" ht="12.75">
      <c r="A338" s="8"/>
      <c r="B338" s="47" t="s">
        <v>127</v>
      </c>
      <c r="C338" s="48"/>
      <c r="D338" s="48"/>
      <c r="E338" s="49"/>
      <c r="F338" s="43"/>
      <c r="G338" s="43"/>
      <c r="H338" s="43"/>
      <c r="I338" s="43"/>
      <c r="J338" s="43"/>
      <c r="K338" s="45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8"/>
      <c r="AA338" s="8"/>
    </row>
    <row r="339" spans="1:27" ht="12.75">
      <c r="A339" s="8"/>
      <c r="B339" s="50"/>
      <c r="C339" s="51"/>
      <c r="D339" s="51"/>
      <c r="E339" s="52"/>
      <c r="F339" s="44"/>
      <c r="G339" s="44"/>
      <c r="H339" s="44"/>
      <c r="I339" s="44"/>
      <c r="J339" s="44"/>
      <c r="K339" s="36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8"/>
      <c r="AA339" s="8"/>
    </row>
    <row r="340" spans="1:27" ht="15">
      <c r="A340" s="8"/>
      <c r="B340" s="40"/>
      <c r="C340" s="41"/>
      <c r="D340" s="41"/>
      <c r="E340" s="42"/>
      <c r="F340" s="17" t="s">
        <v>17</v>
      </c>
      <c r="G340" s="18">
        <f>COUNTIF(F338:G339,"✔")</f>
        <v>0</v>
      </c>
      <c r="H340" s="17" t="s">
        <v>18</v>
      </c>
      <c r="I340" s="18">
        <f>COUNTIF(H338:I339,"a")</f>
        <v>0</v>
      </c>
      <c r="J340" s="17" t="s">
        <v>17</v>
      </c>
      <c r="K340" s="18">
        <f>COUNTIF(J338:K339,"✔")</f>
        <v>0</v>
      </c>
      <c r="L340" s="17" t="s">
        <v>18</v>
      </c>
      <c r="M340" s="18">
        <f>COUNTIF(L338:M339,"a")</f>
        <v>0</v>
      </c>
      <c r="N340" s="17" t="s">
        <v>17</v>
      </c>
      <c r="O340" s="18">
        <f>COUNTIF(N338:O339,"✔")</f>
        <v>0</v>
      </c>
      <c r="P340" s="17" t="s">
        <v>18</v>
      </c>
      <c r="Q340" s="18">
        <f>COUNTIF(P338:Q339,"a")</f>
        <v>0</v>
      </c>
      <c r="R340" s="17" t="s">
        <v>17</v>
      </c>
      <c r="S340" s="18">
        <f>COUNTIF(R338:S339,"✔")</f>
        <v>0</v>
      </c>
      <c r="T340" s="17" t="s">
        <v>18</v>
      </c>
      <c r="U340" s="18">
        <f>COUNTIF(T338:U339,"a")</f>
        <v>0</v>
      </c>
      <c r="V340" s="17" t="s">
        <v>17</v>
      </c>
      <c r="W340" s="18">
        <f>COUNTIF(V338:W339,"✔")</f>
        <v>0</v>
      </c>
      <c r="X340" s="17" t="s">
        <v>18</v>
      </c>
      <c r="Y340" s="18">
        <f>COUNTIF(X338:Y339,"a")</f>
        <v>0</v>
      </c>
      <c r="Z340" s="8"/>
      <c r="AA340" s="8"/>
    </row>
    <row r="341" spans="1:27" ht="12.75">
      <c r="A341" s="8"/>
      <c r="B341" s="47" t="s">
        <v>128</v>
      </c>
      <c r="C341" s="48"/>
      <c r="D341" s="48"/>
      <c r="E341" s="49"/>
      <c r="F341" s="43"/>
      <c r="G341" s="43"/>
      <c r="H341" s="43"/>
      <c r="I341" s="43"/>
      <c r="J341" s="43"/>
      <c r="K341" s="45"/>
      <c r="L341" s="43"/>
      <c r="M341" s="53"/>
      <c r="N341" s="43"/>
      <c r="O341" s="43"/>
      <c r="P341" s="43"/>
      <c r="Q341" s="43"/>
      <c r="R341" s="43"/>
      <c r="S341" s="43"/>
      <c r="T341" s="53"/>
      <c r="U341" s="43"/>
      <c r="V341" s="43"/>
      <c r="W341" s="43"/>
      <c r="X341" s="53"/>
      <c r="Y341" s="43"/>
      <c r="Z341" s="8"/>
      <c r="AA341" s="8"/>
    </row>
    <row r="342" spans="1:27" ht="12.75">
      <c r="A342" s="8"/>
      <c r="B342" s="50"/>
      <c r="C342" s="51"/>
      <c r="D342" s="51"/>
      <c r="E342" s="52"/>
      <c r="F342" s="44"/>
      <c r="G342" s="44"/>
      <c r="H342" s="44"/>
      <c r="I342" s="44"/>
      <c r="J342" s="44"/>
      <c r="K342" s="36"/>
      <c r="L342" s="44"/>
      <c r="M342" s="36"/>
      <c r="N342" s="44"/>
      <c r="O342" s="44"/>
      <c r="P342" s="44"/>
      <c r="Q342" s="44"/>
      <c r="R342" s="44"/>
      <c r="S342" s="44"/>
      <c r="T342" s="36"/>
      <c r="U342" s="44"/>
      <c r="V342" s="44"/>
      <c r="W342" s="44"/>
      <c r="X342" s="36"/>
      <c r="Y342" s="44"/>
      <c r="Z342" s="8"/>
      <c r="AA342" s="8"/>
    </row>
    <row r="343" spans="1:27" ht="15">
      <c r="A343" s="8"/>
      <c r="B343" s="40"/>
      <c r="C343" s="41"/>
      <c r="D343" s="41"/>
      <c r="E343" s="42"/>
      <c r="F343" s="17" t="s">
        <v>17</v>
      </c>
      <c r="G343" s="18">
        <f>COUNTIF(F342:G342,"✔")</f>
        <v>0</v>
      </c>
      <c r="H343" s="17" t="s">
        <v>18</v>
      </c>
      <c r="I343" s="18">
        <f>COUNTIF(H342:I342,"a")</f>
        <v>0</v>
      </c>
      <c r="J343" s="17" t="s">
        <v>17</v>
      </c>
      <c r="K343" s="18">
        <f>COUNTIF(J342:K342,"✔")</f>
        <v>0</v>
      </c>
      <c r="L343" s="17" t="s">
        <v>18</v>
      </c>
      <c r="M343" s="18">
        <f>COUNTIF(L341:M342,"a")</f>
        <v>0</v>
      </c>
      <c r="N343" s="17" t="s">
        <v>17</v>
      </c>
      <c r="O343" s="18">
        <f>COUNTIF(N342:O342,"✔")</f>
        <v>0</v>
      </c>
      <c r="P343" s="17" t="s">
        <v>18</v>
      </c>
      <c r="Q343" s="18">
        <f>COUNTIF(P342:Q342,"a")</f>
        <v>0</v>
      </c>
      <c r="R343" s="17" t="s">
        <v>17</v>
      </c>
      <c r="S343" s="18">
        <f>COUNTIF(R342:S342,"✔")</f>
        <v>0</v>
      </c>
      <c r="T343" s="17" t="s">
        <v>18</v>
      </c>
      <c r="U343" s="18">
        <f>COUNTIF(T341:U342,"a")</f>
        <v>0</v>
      </c>
      <c r="V343" s="17" t="s">
        <v>17</v>
      </c>
      <c r="W343" s="18">
        <f>COUNTIF(V342:W342,"✔")</f>
        <v>0</v>
      </c>
      <c r="X343" s="17" t="s">
        <v>18</v>
      </c>
      <c r="Y343" s="18">
        <f>COUNTIF(X341:Y342,"a")</f>
        <v>0</v>
      </c>
      <c r="Z343" s="8"/>
      <c r="AA343" s="8"/>
    </row>
    <row r="344" spans="1:27" ht="12.75">
      <c r="A344" s="8"/>
      <c r="B344" s="47" t="s">
        <v>129</v>
      </c>
      <c r="C344" s="48"/>
      <c r="D344" s="48"/>
      <c r="E344" s="49"/>
      <c r="F344" s="43"/>
      <c r="G344" s="43"/>
      <c r="H344" s="43"/>
      <c r="I344" s="43"/>
      <c r="J344" s="43"/>
      <c r="K344" s="45"/>
      <c r="L344" s="53"/>
      <c r="M344" s="5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8"/>
      <c r="AA344" s="8"/>
    </row>
    <row r="345" spans="1:27" ht="12.75">
      <c r="A345" s="8"/>
      <c r="B345" s="50"/>
      <c r="C345" s="51"/>
      <c r="D345" s="51"/>
      <c r="E345" s="52"/>
      <c r="F345" s="44"/>
      <c r="G345" s="44"/>
      <c r="H345" s="44"/>
      <c r="I345" s="44"/>
      <c r="J345" s="44"/>
      <c r="K345" s="36"/>
      <c r="L345" s="36"/>
      <c r="M345" s="36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8"/>
      <c r="AA345" s="8"/>
    </row>
    <row r="346" spans="1:27" ht="15">
      <c r="A346" s="8"/>
      <c r="B346" s="40"/>
      <c r="C346" s="41"/>
      <c r="D346" s="41"/>
      <c r="E346" s="42"/>
      <c r="F346" s="17" t="s">
        <v>17</v>
      </c>
      <c r="G346" s="18">
        <f>COUNTIF(F344:G345,"✔")</f>
        <v>0</v>
      </c>
      <c r="H346" s="17" t="s">
        <v>18</v>
      </c>
      <c r="I346" s="18">
        <f>COUNTIF(H344:I345,"a")</f>
        <v>0</v>
      </c>
      <c r="J346" s="17" t="s">
        <v>17</v>
      </c>
      <c r="K346" s="18">
        <f>COUNTIF(J344:K345,"✔")</f>
        <v>0</v>
      </c>
      <c r="L346" s="17" t="s">
        <v>18</v>
      </c>
      <c r="M346" s="18">
        <f>COUNTIF(L344:M345,"a")</f>
        <v>0</v>
      </c>
      <c r="N346" s="17" t="s">
        <v>17</v>
      </c>
      <c r="O346" s="18">
        <f>COUNTIF(N344:O345,"✔")</f>
        <v>0</v>
      </c>
      <c r="P346" s="17" t="s">
        <v>18</v>
      </c>
      <c r="Q346" s="18">
        <f>COUNTIF(P344:Q345,"a")</f>
        <v>0</v>
      </c>
      <c r="R346" s="17" t="s">
        <v>17</v>
      </c>
      <c r="S346" s="18">
        <f>COUNTIF(R344:S345,"✔")</f>
        <v>0</v>
      </c>
      <c r="T346" s="17" t="s">
        <v>18</v>
      </c>
      <c r="U346" s="18">
        <f>COUNTIF(T344:U345,"a")</f>
        <v>0</v>
      </c>
      <c r="V346" s="17" t="s">
        <v>17</v>
      </c>
      <c r="W346" s="18">
        <f>COUNTIF(V344:W345,"✔")</f>
        <v>0</v>
      </c>
      <c r="X346" s="17" t="s">
        <v>18</v>
      </c>
      <c r="Y346" s="18">
        <f>COUNTIF(X344:Y345,"a")</f>
        <v>0</v>
      </c>
      <c r="Z346" s="8"/>
      <c r="AA346" s="8"/>
    </row>
    <row r="347" spans="1:27" ht="12.75">
      <c r="A347" s="8"/>
      <c r="B347" s="47" t="s">
        <v>130</v>
      </c>
      <c r="C347" s="48"/>
      <c r="D347" s="48"/>
      <c r="E347" s="49"/>
      <c r="F347" s="43"/>
      <c r="G347" s="43"/>
      <c r="H347" s="43"/>
      <c r="I347" s="43"/>
      <c r="J347" s="43"/>
      <c r="K347" s="45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8"/>
      <c r="AA347" s="8"/>
    </row>
    <row r="348" spans="1:27" ht="12.75">
      <c r="A348" s="8"/>
      <c r="B348" s="50"/>
      <c r="C348" s="51"/>
      <c r="D348" s="51"/>
      <c r="E348" s="52"/>
      <c r="F348" s="44"/>
      <c r="G348" s="44"/>
      <c r="H348" s="44"/>
      <c r="I348" s="44"/>
      <c r="J348" s="44"/>
      <c r="K348" s="36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8"/>
      <c r="AA348" s="8"/>
    </row>
    <row r="349" spans="1:27" ht="15">
      <c r="A349" s="8"/>
      <c r="B349" s="40"/>
      <c r="C349" s="41"/>
      <c r="D349" s="41"/>
      <c r="E349" s="42"/>
      <c r="F349" s="17" t="s">
        <v>17</v>
      </c>
      <c r="G349" s="18">
        <f>COUNTIF(F347:G348,"✔")</f>
        <v>0</v>
      </c>
      <c r="H349" s="17" t="s">
        <v>18</v>
      </c>
      <c r="I349" s="18">
        <f>COUNTIF(H347:I348,"a")</f>
        <v>0</v>
      </c>
      <c r="J349" s="17" t="s">
        <v>17</v>
      </c>
      <c r="K349" s="18">
        <f>COUNTIF(J347:K348,"✔")</f>
        <v>0</v>
      </c>
      <c r="L349" s="17" t="s">
        <v>18</v>
      </c>
      <c r="M349" s="18">
        <f>COUNTIF(L347:M348,"a")</f>
        <v>0</v>
      </c>
      <c r="N349" s="17" t="s">
        <v>17</v>
      </c>
      <c r="O349" s="18">
        <f>COUNTIF(N347:O348,"✔")</f>
        <v>0</v>
      </c>
      <c r="P349" s="17" t="s">
        <v>18</v>
      </c>
      <c r="Q349" s="18">
        <f>COUNTIF(P347:Q348,"a")</f>
        <v>0</v>
      </c>
      <c r="R349" s="17" t="s">
        <v>17</v>
      </c>
      <c r="S349" s="18">
        <f>COUNTIF(R347:S348,"✔")</f>
        <v>0</v>
      </c>
      <c r="T349" s="17" t="s">
        <v>18</v>
      </c>
      <c r="U349" s="18">
        <f>COUNTIF(T347:U348,"a")</f>
        <v>0</v>
      </c>
      <c r="V349" s="17" t="s">
        <v>17</v>
      </c>
      <c r="W349" s="18">
        <f>COUNTIF(V347:W348,"✔")</f>
        <v>0</v>
      </c>
      <c r="X349" s="17" t="s">
        <v>18</v>
      </c>
      <c r="Y349" s="18">
        <f>COUNTIF(X347:Y348,"a")</f>
        <v>0</v>
      </c>
      <c r="Z349" s="8"/>
      <c r="AA349" s="8"/>
    </row>
    <row r="350" spans="1:27" ht="12.75">
      <c r="A350" s="8"/>
      <c r="B350" s="47" t="s">
        <v>131</v>
      </c>
      <c r="C350" s="48"/>
      <c r="D350" s="48"/>
      <c r="E350" s="49"/>
      <c r="F350" s="43"/>
      <c r="G350" s="43"/>
      <c r="H350" s="43"/>
      <c r="I350" s="43"/>
      <c r="J350" s="43"/>
      <c r="K350" s="45"/>
      <c r="L350" s="43"/>
      <c r="M350" s="43"/>
      <c r="N350" s="43"/>
      <c r="O350" s="43"/>
      <c r="P350" s="43"/>
      <c r="Q350" s="43"/>
      <c r="R350" s="43"/>
      <c r="S350" s="43"/>
      <c r="T350" s="53"/>
      <c r="U350" s="43"/>
      <c r="V350" s="43"/>
      <c r="W350" s="43"/>
      <c r="X350" s="53"/>
      <c r="Y350" s="43"/>
      <c r="Z350" s="8"/>
      <c r="AA350" s="8"/>
    </row>
    <row r="351" spans="1:27" ht="12.75">
      <c r="A351" s="8"/>
      <c r="B351" s="50"/>
      <c r="C351" s="51"/>
      <c r="D351" s="51"/>
      <c r="E351" s="52"/>
      <c r="F351" s="44"/>
      <c r="G351" s="44"/>
      <c r="H351" s="44"/>
      <c r="I351" s="44"/>
      <c r="J351" s="44"/>
      <c r="K351" s="36"/>
      <c r="L351" s="44"/>
      <c r="M351" s="44"/>
      <c r="N351" s="44"/>
      <c r="O351" s="44"/>
      <c r="P351" s="44"/>
      <c r="Q351" s="44"/>
      <c r="R351" s="44"/>
      <c r="S351" s="44"/>
      <c r="T351" s="36"/>
      <c r="U351" s="44"/>
      <c r="V351" s="44"/>
      <c r="W351" s="44"/>
      <c r="X351" s="36"/>
      <c r="Y351" s="44"/>
      <c r="Z351" s="8"/>
      <c r="AA351" s="8"/>
    </row>
    <row r="352" spans="1:27" ht="15">
      <c r="A352" s="8"/>
      <c r="B352" s="40"/>
      <c r="C352" s="41"/>
      <c r="D352" s="41"/>
      <c r="E352" s="42"/>
      <c r="F352" s="17" t="s">
        <v>17</v>
      </c>
      <c r="G352" s="18">
        <f>COUNTIF(F350:G351,"✔")</f>
        <v>0</v>
      </c>
      <c r="H352" s="17" t="s">
        <v>18</v>
      </c>
      <c r="I352" s="18">
        <f>COUNTIF(H350:I351,"a")</f>
        <v>0</v>
      </c>
      <c r="J352" s="17" t="s">
        <v>17</v>
      </c>
      <c r="K352" s="18">
        <f>COUNTIF(J350:K351,"✔")</f>
        <v>0</v>
      </c>
      <c r="L352" s="17" t="s">
        <v>18</v>
      </c>
      <c r="M352" s="18">
        <f>COUNTIF(L350:M351,"a")</f>
        <v>0</v>
      </c>
      <c r="N352" s="17" t="s">
        <v>17</v>
      </c>
      <c r="O352" s="18">
        <f>COUNTIF(N350:O351,"✔")</f>
        <v>0</v>
      </c>
      <c r="P352" s="17" t="s">
        <v>18</v>
      </c>
      <c r="Q352" s="18">
        <f>COUNTIF(P350:Q351,"a")</f>
        <v>0</v>
      </c>
      <c r="R352" s="17" t="s">
        <v>17</v>
      </c>
      <c r="S352" s="18">
        <f>COUNTIF(R350:S351,"✔")</f>
        <v>0</v>
      </c>
      <c r="T352" s="17" t="s">
        <v>18</v>
      </c>
      <c r="U352" s="18">
        <f>COUNTIF(T350:U351,"a")</f>
        <v>0</v>
      </c>
      <c r="V352" s="17" t="s">
        <v>17</v>
      </c>
      <c r="W352" s="18">
        <f>COUNTIF(V350:W351,"✔")</f>
        <v>0</v>
      </c>
      <c r="X352" s="17" t="s">
        <v>18</v>
      </c>
      <c r="Y352" s="18">
        <f>COUNTIF(X350:Y351,"a")</f>
        <v>0</v>
      </c>
      <c r="Z352" s="8"/>
      <c r="AA352" s="8"/>
    </row>
    <row r="353" spans="1:27" ht="12.75">
      <c r="A353" s="8"/>
      <c r="B353" s="47" t="s">
        <v>132</v>
      </c>
      <c r="C353" s="48"/>
      <c r="D353" s="48"/>
      <c r="E353" s="49"/>
      <c r="F353" s="43"/>
      <c r="G353" s="43"/>
      <c r="H353" s="43"/>
      <c r="I353" s="43"/>
      <c r="J353" s="43"/>
      <c r="K353" s="45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8"/>
      <c r="AA353" s="8"/>
    </row>
    <row r="354" spans="1:27" ht="12.75">
      <c r="A354" s="8"/>
      <c r="B354" s="50"/>
      <c r="C354" s="51"/>
      <c r="D354" s="51"/>
      <c r="E354" s="52"/>
      <c r="F354" s="44"/>
      <c r="G354" s="44"/>
      <c r="H354" s="44"/>
      <c r="I354" s="44"/>
      <c r="J354" s="44"/>
      <c r="K354" s="36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8"/>
      <c r="AA354" s="8"/>
    </row>
    <row r="355" spans="1:27" ht="15">
      <c r="A355" s="8"/>
      <c r="B355" s="40"/>
      <c r="C355" s="41"/>
      <c r="D355" s="41"/>
      <c r="E355" s="42"/>
      <c r="F355" s="17" t="s">
        <v>17</v>
      </c>
      <c r="G355" s="18">
        <f>COUNTIF(F353:G354,"✔")</f>
        <v>0</v>
      </c>
      <c r="H355" s="17" t="s">
        <v>18</v>
      </c>
      <c r="I355" s="18">
        <f>COUNTIF(H353:I354,"a")</f>
        <v>0</v>
      </c>
      <c r="J355" s="17" t="s">
        <v>17</v>
      </c>
      <c r="K355" s="18">
        <f>COUNTIF(J353:K354,"✔")</f>
        <v>0</v>
      </c>
      <c r="L355" s="17" t="s">
        <v>18</v>
      </c>
      <c r="M355" s="18">
        <f>COUNTIF(L353:M354,"a")</f>
        <v>0</v>
      </c>
      <c r="N355" s="17" t="s">
        <v>17</v>
      </c>
      <c r="O355" s="18">
        <f>COUNTIF(N353:O354,"✔")</f>
        <v>0</v>
      </c>
      <c r="P355" s="17" t="s">
        <v>18</v>
      </c>
      <c r="Q355" s="18">
        <f>COUNTIF(P353:Q354,"a")</f>
        <v>0</v>
      </c>
      <c r="R355" s="17" t="s">
        <v>17</v>
      </c>
      <c r="S355" s="18">
        <f>COUNTIF(R353:S354,"✔")</f>
        <v>0</v>
      </c>
      <c r="T355" s="17" t="s">
        <v>18</v>
      </c>
      <c r="U355" s="18">
        <f>COUNTIF(T353:U354,"a")</f>
        <v>0</v>
      </c>
      <c r="V355" s="17" t="s">
        <v>17</v>
      </c>
      <c r="W355" s="18">
        <f>COUNTIF(V353:W354,"✔")</f>
        <v>0</v>
      </c>
      <c r="X355" s="17" t="s">
        <v>18</v>
      </c>
      <c r="Y355" s="18">
        <f>COUNTIF(X353:Y354,"a")</f>
        <v>0</v>
      </c>
      <c r="Z355" s="8"/>
      <c r="AA355" s="8"/>
    </row>
    <row r="356" spans="1:27" ht="12.75">
      <c r="A356" s="8"/>
      <c r="B356" s="47" t="s">
        <v>133</v>
      </c>
      <c r="C356" s="48"/>
      <c r="D356" s="48"/>
      <c r="E356" s="49"/>
      <c r="F356" s="43"/>
      <c r="G356" s="43"/>
      <c r="H356" s="43"/>
      <c r="I356" s="43"/>
      <c r="J356" s="43"/>
      <c r="K356" s="45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8"/>
      <c r="AA356" s="8"/>
    </row>
    <row r="357" spans="1:27" ht="12.75">
      <c r="A357" s="8"/>
      <c r="B357" s="50"/>
      <c r="C357" s="51"/>
      <c r="D357" s="51"/>
      <c r="E357" s="52"/>
      <c r="F357" s="44"/>
      <c r="G357" s="44"/>
      <c r="H357" s="44"/>
      <c r="I357" s="44"/>
      <c r="J357" s="44"/>
      <c r="K357" s="36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8"/>
      <c r="AA357" s="8"/>
    </row>
    <row r="358" spans="1:27" ht="15">
      <c r="A358" s="8"/>
      <c r="B358" s="40"/>
      <c r="C358" s="41"/>
      <c r="D358" s="41"/>
      <c r="E358" s="42"/>
      <c r="F358" s="17" t="s">
        <v>17</v>
      </c>
      <c r="G358" s="18">
        <f>COUNTIF(F356:G357,"✔")</f>
        <v>0</v>
      </c>
      <c r="H358" s="17" t="s">
        <v>18</v>
      </c>
      <c r="I358" s="18">
        <f>COUNTIF(H356:I357,"a")</f>
        <v>0</v>
      </c>
      <c r="J358" s="17" t="s">
        <v>17</v>
      </c>
      <c r="K358" s="18">
        <f>COUNTIF(J356:K357,"✔")</f>
        <v>0</v>
      </c>
      <c r="L358" s="17" t="s">
        <v>18</v>
      </c>
      <c r="M358" s="18">
        <f>COUNTIF(L356:M357,"a")</f>
        <v>0</v>
      </c>
      <c r="N358" s="17" t="s">
        <v>17</v>
      </c>
      <c r="O358" s="18">
        <f>COUNTIF(N356:O357,"✔")</f>
        <v>0</v>
      </c>
      <c r="P358" s="17" t="s">
        <v>18</v>
      </c>
      <c r="Q358" s="18">
        <f>COUNTIF(P356:Q357,"a")</f>
        <v>0</v>
      </c>
      <c r="R358" s="17" t="s">
        <v>17</v>
      </c>
      <c r="S358" s="18">
        <f>COUNTIF(R356:S357,"✔")</f>
        <v>0</v>
      </c>
      <c r="T358" s="17" t="s">
        <v>18</v>
      </c>
      <c r="U358" s="18">
        <f>COUNTIF(T356:U357,"a")</f>
        <v>0</v>
      </c>
      <c r="V358" s="17" t="s">
        <v>17</v>
      </c>
      <c r="W358" s="18">
        <f>COUNTIF(V356:W357,"✔")</f>
        <v>0</v>
      </c>
      <c r="X358" s="17" t="s">
        <v>18</v>
      </c>
      <c r="Y358" s="18">
        <f>COUNTIF(X356:Y357,"a")</f>
        <v>0</v>
      </c>
      <c r="Z358" s="8"/>
      <c r="AA358" s="8"/>
    </row>
    <row r="359" spans="1:27" ht="12.75">
      <c r="A359" s="8"/>
      <c r="B359" s="47" t="s">
        <v>134</v>
      </c>
      <c r="C359" s="48"/>
      <c r="D359" s="48"/>
      <c r="E359" s="49"/>
      <c r="F359" s="43"/>
      <c r="G359" s="43"/>
      <c r="H359" s="43"/>
      <c r="I359" s="43"/>
      <c r="J359" s="43"/>
      <c r="K359" s="45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8"/>
      <c r="AA359" s="8"/>
    </row>
    <row r="360" spans="1:27" ht="12.75">
      <c r="A360" s="8"/>
      <c r="B360" s="50"/>
      <c r="C360" s="51"/>
      <c r="D360" s="51"/>
      <c r="E360" s="52"/>
      <c r="F360" s="44"/>
      <c r="G360" s="44"/>
      <c r="H360" s="44"/>
      <c r="I360" s="44"/>
      <c r="J360" s="44"/>
      <c r="K360" s="36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8"/>
      <c r="AA360" s="8"/>
    </row>
    <row r="361" spans="1:27" ht="15">
      <c r="A361" s="8"/>
      <c r="B361" s="40"/>
      <c r="C361" s="41"/>
      <c r="D361" s="41"/>
      <c r="E361" s="42"/>
      <c r="F361" s="17" t="s">
        <v>17</v>
      </c>
      <c r="G361" s="18">
        <f>COUNTIF(F359:G360,"✔")</f>
        <v>0</v>
      </c>
      <c r="H361" s="17" t="s">
        <v>18</v>
      </c>
      <c r="I361" s="18">
        <f>COUNTIF(H359:I360,"a")</f>
        <v>0</v>
      </c>
      <c r="J361" s="17" t="s">
        <v>17</v>
      </c>
      <c r="K361" s="18">
        <f>COUNTIF(J359:K360,"✔")</f>
        <v>0</v>
      </c>
      <c r="L361" s="17" t="s">
        <v>18</v>
      </c>
      <c r="M361" s="18">
        <f>COUNTIF(L359:M360,"a")</f>
        <v>0</v>
      </c>
      <c r="N361" s="17" t="s">
        <v>17</v>
      </c>
      <c r="O361" s="18">
        <f>COUNTIF(N359:O360,"✔")</f>
        <v>0</v>
      </c>
      <c r="P361" s="17" t="s">
        <v>18</v>
      </c>
      <c r="Q361" s="18">
        <f>COUNTIF(P359:Q360,"a")</f>
        <v>0</v>
      </c>
      <c r="R361" s="17" t="s">
        <v>17</v>
      </c>
      <c r="S361" s="18">
        <f>COUNTIF(R359:S360,"✔")</f>
        <v>0</v>
      </c>
      <c r="T361" s="17" t="s">
        <v>18</v>
      </c>
      <c r="U361" s="18">
        <f>COUNTIF(T359:U360,"a")</f>
        <v>0</v>
      </c>
      <c r="V361" s="17" t="s">
        <v>17</v>
      </c>
      <c r="W361" s="18">
        <f>COUNTIF(V359:W360,"✔")</f>
        <v>0</v>
      </c>
      <c r="X361" s="17" t="s">
        <v>18</v>
      </c>
      <c r="Y361" s="18">
        <f>COUNTIF(X359:Y360,"a")</f>
        <v>0</v>
      </c>
      <c r="Z361" s="8"/>
      <c r="AA361" s="8"/>
    </row>
    <row r="362" spans="1:27" ht="12.75">
      <c r="A362" s="8"/>
      <c r="B362" s="47" t="s">
        <v>135</v>
      </c>
      <c r="C362" s="48"/>
      <c r="D362" s="48"/>
      <c r="E362" s="49"/>
      <c r="F362" s="43"/>
      <c r="G362" s="43"/>
      <c r="H362" s="43"/>
      <c r="I362" s="43"/>
      <c r="J362" s="43"/>
      <c r="K362" s="45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8"/>
      <c r="AA362" s="8"/>
    </row>
    <row r="363" spans="1:27" ht="12.75">
      <c r="A363" s="8"/>
      <c r="B363" s="50"/>
      <c r="C363" s="51"/>
      <c r="D363" s="51"/>
      <c r="E363" s="52"/>
      <c r="F363" s="44"/>
      <c r="G363" s="44"/>
      <c r="H363" s="44"/>
      <c r="I363" s="44"/>
      <c r="J363" s="44"/>
      <c r="K363" s="36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8"/>
      <c r="AA363" s="8"/>
    </row>
    <row r="364" spans="1:27" ht="15">
      <c r="A364" s="8"/>
      <c r="B364" s="40"/>
      <c r="C364" s="41"/>
      <c r="D364" s="41"/>
      <c r="E364" s="42"/>
      <c r="F364" s="17" t="s">
        <v>17</v>
      </c>
      <c r="G364" s="18">
        <f>COUNTIF(F362:G363,"✔")</f>
        <v>0</v>
      </c>
      <c r="H364" s="17" t="s">
        <v>18</v>
      </c>
      <c r="I364" s="18">
        <f>COUNTIF(H362:I363,"a")</f>
        <v>0</v>
      </c>
      <c r="J364" s="17" t="s">
        <v>17</v>
      </c>
      <c r="K364" s="18">
        <f>COUNTIF(J362:K363,"✔")</f>
        <v>0</v>
      </c>
      <c r="L364" s="17" t="s">
        <v>18</v>
      </c>
      <c r="M364" s="18">
        <f>COUNTIF(L362:M363,"a")</f>
        <v>0</v>
      </c>
      <c r="N364" s="17" t="s">
        <v>17</v>
      </c>
      <c r="O364" s="18">
        <f>COUNTIF(N362:O363,"✔")</f>
        <v>0</v>
      </c>
      <c r="P364" s="17" t="s">
        <v>18</v>
      </c>
      <c r="Q364" s="18">
        <f>COUNTIF(P362:Q363,"a")</f>
        <v>0</v>
      </c>
      <c r="R364" s="17" t="s">
        <v>17</v>
      </c>
      <c r="S364" s="18">
        <f>COUNTIF(R362:S363,"✔")</f>
        <v>0</v>
      </c>
      <c r="T364" s="17" t="s">
        <v>18</v>
      </c>
      <c r="U364" s="18">
        <f>COUNTIF(T362:U363,"a")</f>
        <v>0</v>
      </c>
      <c r="V364" s="17" t="s">
        <v>17</v>
      </c>
      <c r="W364" s="18">
        <f>COUNTIF(V362:W363,"✔")</f>
        <v>0</v>
      </c>
      <c r="X364" s="17" t="s">
        <v>18</v>
      </c>
      <c r="Y364" s="18">
        <f>COUNTIF(X362:Y363,"a")</f>
        <v>0</v>
      </c>
      <c r="Z364" s="8"/>
      <c r="AA364" s="8"/>
    </row>
    <row r="365" spans="1:27" ht="12.75">
      <c r="A365" s="8"/>
      <c r="B365" s="47" t="s">
        <v>136</v>
      </c>
      <c r="C365" s="48"/>
      <c r="D365" s="48"/>
      <c r="E365" s="49"/>
      <c r="F365" s="43"/>
      <c r="G365" s="43"/>
      <c r="H365" s="43"/>
      <c r="I365" s="43"/>
      <c r="J365" s="43"/>
      <c r="K365" s="45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8"/>
      <c r="AA365" s="8"/>
    </row>
    <row r="366" spans="1:27" ht="12.75">
      <c r="A366" s="8"/>
      <c r="B366" s="50"/>
      <c r="C366" s="51"/>
      <c r="D366" s="51"/>
      <c r="E366" s="52"/>
      <c r="F366" s="44"/>
      <c r="G366" s="44"/>
      <c r="H366" s="44"/>
      <c r="I366" s="44"/>
      <c r="J366" s="44"/>
      <c r="K366" s="36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8"/>
      <c r="AA366" s="8"/>
    </row>
    <row r="367" spans="1:27" ht="15">
      <c r="A367" s="8"/>
      <c r="B367" s="40"/>
      <c r="C367" s="41"/>
      <c r="D367" s="41"/>
      <c r="E367" s="42"/>
      <c r="F367" s="17" t="s">
        <v>17</v>
      </c>
      <c r="G367" s="18">
        <f>COUNTIF(F365:G366,"✔")</f>
        <v>0</v>
      </c>
      <c r="H367" s="17" t="s">
        <v>18</v>
      </c>
      <c r="I367" s="18">
        <f>COUNTIF(H365:I366,"a")</f>
        <v>0</v>
      </c>
      <c r="J367" s="17" t="s">
        <v>17</v>
      </c>
      <c r="K367" s="18">
        <f>COUNTIF(J365:K366,"✔")</f>
        <v>0</v>
      </c>
      <c r="L367" s="17" t="s">
        <v>18</v>
      </c>
      <c r="M367" s="18">
        <f>COUNTIF(L365:M366,"a")</f>
        <v>0</v>
      </c>
      <c r="N367" s="17" t="s">
        <v>17</v>
      </c>
      <c r="O367" s="18">
        <f>COUNTIF(N365:O366,"✔")</f>
        <v>0</v>
      </c>
      <c r="P367" s="17" t="s">
        <v>18</v>
      </c>
      <c r="Q367" s="18">
        <f>COUNTIF(P365:Q366,"a")</f>
        <v>0</v>
      </c>
      <c r="R367" s="17" t="s">
        <v>17</v>
      </c>
      <c r="S367" s="18">
        <f>COUNTIF(R365:S366,"✔")</f>
        <v>0</v>
      </c>
      <c r="T367" s="17" t="s">
        <v>18</v>
      </c>
      <c r="U367" s="18">
        <f>COUNTIF(T365:U366,"a")</f>
        <v>0</v>
      </c>
      <c r="V367" s="17" t="s">
        <v>17</v>
      </c>
      <c r="W367" s="18">
        <f>COUNTIF(V365:W366,"✔")</f>
        <v>0</v>
      </c>
      <c r="X367" s="17" t="s">
        <v>18</v>
      </c>
      <c r="Y367" s="18">
        <f>COUNTIF(X365:Y366,"a")</f>
        <v>0</v>
      </c>
      <c r="Z367" s="8"/>
      <c r="AA367" s="8"/>
    </row>
    <row r="368" spans="1:27" ht="12.75">
      <c r="A368" s="8"/>
      <c r="B368" s="47" t="s">
        <v>137</v>
      </c>
      <c r="C368" s="48"/>
      <c r="D368" s="48"/>
      <c r="E368" s="49"/>
      <c r="F368" s="43"/>
      <c r="G368" s="43"/>
      <c r="H368" s="53"/>
      <c r="I368" s="43"/>
      <c r="J368" s="43"/>
      <c r="K368" s="45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8"/>
      <c r="AA368" s="8"/>
    </row>
    <row r="369" spans="1:27" ht="12.75">
      <c r="A369" s="8"/>
      <c r="B369" s="50"/>
      <c r="C369" s="51"/>
      <c r="D369" s="51"/>
      <c r="E369" s="52"/>
      <c r="F369" s="44"/>
      <c r="G369" s="44"/>
      <c r="H369" s="36"/>
      <c r="I369" s="44"/>
      <c r="J369" s="44"/>
      <c r="K369" s="36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8"/>
      <c r="AA369" s="8"/>
    </row>
    <row r="370" spans="1:27" ht="15">
      <c r="A370" s="8"/>
      <c r="B370" s="40"/>
      <c r="C370" s="41"/>
      <c r="D370" s="41"/>
      <c r="E370" s="42"/>
      <c r="F370" s="17" t="s">
        <v>17</v>
      </c>
      <c r="G370" s="18">
        <f>COUNTIF(F368:G369,"✔")</f>
        <v>0</v>
      </c>
      <c r="H370" s="17" t="s">
        <v>18</v>
      </c>
      <c r="I370" s="18">
        <f>COUNTIF(H368:I369,"a")</f>
        <v>0</v>
      </c>
      <c r="J370" s="17" t="s">
        <v>17</v>
      </c>
      <c r="K370" s="18">
        <f>COUNTIF(J368:K369,"✔")</f>
        <v>0</v>
      </c>
      <c r="L370" s="17" t="s">
        <v>18</v>
      </c>
      <c r="M370" s="18">
        <f>COUNTIF(L368:M369,"a")</f>
        <v>0</v>
      </c>
      <c r="N370" s="17" t="s">
        <v>17</v>
      </c>
      <c r="O370" s="18">
        <f>COUNTIF(N368:O369,"✔")</f>
        <v>0</v>
      </c>
      <c r="P370" s="17" t="s">
        <v>18</v>
      </c>
      <c r="Q370" s="18">
        <f>COUNTIF(P368:Q369,"a")</f>
        <v>0</v>
      </c>
      <c r="R370" s="17" t="s">
        <v>17</v>
      </c>
      <c r="S370" s="18">
        <f>COUNTIF(R368:S369,"✔")</f>
        <v>0</v>
      </c>
      <c r="T370" s="17" t="s">
        <v>18</v>
      </c>
      <c r="U370" s="18">
        <f>COUNTIF(T368:U369,"a")</f>
        <v>0</v>
      </c>
      <c r="V370" s="17" t="s">
        <v>17</v>
      </c>
      <c r="W370" s="18">
        <f>COUNTIF(V368:W369,"✔")</f>
        <v>0</v>
      </c>
      <c r="X370" s="17" t="s">
        <v>18</v>
      </c>
      <c r="Y370" s="18">
        <f>COUNTIF(X368:Y369,"a")</f>
        <v>0</v>
      </c>
      <c r="Z370" s="8"/>
      <c r="AA370" s="8"/>
    </row>
    <row r="371" spans="1:27" ht="12.75">
      <c r="A371" s="8"/>
      <c r="B371" s="47" t="s">
        <v>138</v>
      </c>
      <c r="C371" s="48"/>
      <c r="D371" s="48"/>
      <c r="E371" s="49"/>
      <c r="F371" s="43"/>
      <c r="G371" s="43"/>
      <c r="H371" s="43"/>
      <c r="I371" s="43"/>
      <c r="J371" s="43"/>
      <c r="K371" s="45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8"/>
      <c r="AA371" s="8"/>
    </row>
    <row r="372" spans="1:27" ht="12.75">
      <c r="A372" s="8"/>
      <c r="B372" s="50"/>
      <c r="C372" s="51"/>
      <c r="D372" s="51"/>
      <c r="E372" s="52"/>
      <c r="F372" s="44"/>
      <c r="G372" s="44"/>
      <c r="H372" s="44"/>
      <c r="I372" s="44"/>
      <c r="J372" s="44"/>
      <c r="K372" s="36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8"/>
      <c r="AA372" s="8"/>
    </row>
    <row r="373" spans="1:27" ht="15">
      <c r="A373" s="8"/>
      <c r="B373" s="40"/>
      <c r="C373" s="41"/>
      <c r="D373" s="41"/>
      <c r="E373" s="42"/>
      <c r="F373" s="17" t="s">
        <v>17</v>
      </c>
      <c r="G373" s="18">
        <f>COUNTIF(F371:G372,"✔")</f>
        <v>0</v>
      </c>
      <c r="H373" s="17" t="s">
        <v>18</v>
      </c>
      <c r="I373" s="18">
        <f>COUNTIF(H371:I372,"a")</f>
        <v>0</v>
      </c>
      <c r="J373" s="17" t="s">
        <v>17</v>
      </c>
      <c r="K373" s="18">
        <f>COUNTIF(J371:K372,"✔")</f>
        <v>0</v>
      </c>
      <c r="L373" s="17" t="s">
        <v>18</v>
      </c>
      <c r="M373" s="18">
        <f>COUNTIF(L371:M372,"a")</f>
        <v>0</v>
      </c>
      <c r="N373" s="17" t="s">
        <v>17</v>
      </c>
      <c r="O373" s="18">
        <f>COUNTIF(N371:O372,"✔")</f>
        <v>0</v>
      </c>
      <c r="P373" s="17" t="s">
        <v>18</v>
      </c>
      <c r="Q373" s="18">
        <f>COUNTIF(P371:Q372,"a")</f>
        <v>0</v>
      </c>
      <c r="R373" s="17" t="s">
        <v>17</v>
      </c>
      <c r="S373" s="18">
        <f>COUNTIF(R371:S372,"✔")</f>
        <v>0</v>
      </c>
      <c r="T373" s="17" t="s">
        <v>18</v>
      </c>
      <c r="U373" s="18">
        <f>COUNTIF(T371:U372,"a")</f>
        <v>0</v>
      </c>
      <c r="V373" s="17" t="s">
        <v>17</v>
      </c>
      <c r="W373" s="18">
        <f>COUNTIF(V371:W372,"✔")</f>
        <v>0</v>
      </c>
      <c r="X373" s="17" t="s">
        <v>18</v>
      </c>
      <c r="Y373" s="18">
        <f>COUNTIF(X371:Y372,"a")</f>
        <v>0</v>
      </c>
      <c r="Z373" s="8"/>
      <c r="AA373" s="8"/>
    </row>
    <row r="374" spans="1:27" ht="12.75">
      <c r="A374" s="8"/>
      <c r="B374" s="47" t="s">
        <v>139</v>
      </c>
      <c r="C374" s="48"/>
      <c r="D374" s="48"/>
      <c r="E374" s="49"/>
      <c r="F374" s="43"/>
      <c r="G374" s="43"/>
      <c r="H374" s="53"/>
      <c r="I374" s="43"/>
      <c r="J374" s="43"/>
      <c r="K374" s="45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8"/>
      <c r="AA374" s="8"/>
    </row>
    <row r="375" spans="1:27" ht="12.75">
      <c r="A375" s="8"/>
      <c r="B375" s="50"/>
      <c r="C375" s="51"/>
      <c r="D375" s="51"/>
      <c r="E375" s="52"/>
      <c r="F375" s="44"/>
      <c r="G375" s="44"/>
      <c r="H375" s="36"/>
      <c r="I375" s="44"/>
      <c r="J375" s="44"/>
      <c r="K375" s="36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8"/>
      <c r="AA375" s="8"/>
    </row>
    <row r="376" spans="1:27" ht="15">
      <c r="A376" s="8"/>
      <c r="B376" s="40"/>
      <c r="C376" s="41"/>
      <c r="D376" s="41"/>
      <c r="E376" s="42"/>
      <c r="F376" s="17" t="s">
        <v>17</v>
      </c>
      <c r="G376" s="18">
        <f>COUNTIF(F374:G375,"✔")</f>
        <v>0</v>
      </c>
      <c r="H376" s="17" t="s">
        <v>18</v>
      </c>
      <c r="I376" s="18">
        <f>COUNTIF(H374:I375,"a")</f>
        <v>0</v>
      </c>
      <c r="J376" s="17" t="s">
        <v>17</v>
      </c>
      <c r="K376" s="18">
        <f>COUNTIF(J374:K375,"✔")</f>
        <v>0</v>
      </c>
      <c r="L376" s="17" t="s">
        <v>18</v>
      </c>
      <c r="M376" s="18">
        <f>COUNTIF(L374:M375,"a")</f>
        <v>0</v>
      </c>
      <c r="N376" s="17" t="s">
        <v>17</v>
      </c>
      <c r="O376" s="18">
        <f>COUNTIF(N374:O375,"✔")</f>
        <v>0</v>
      </c>
      <c r="P376" s="17" t="s">
        <v>18</v>
      </c>
      <c r="Q376" s="18">
        <f>COUNTIF(P374:Q375,"a")</f>
        <v>0</v>
      </c>
      <c r="R376" s="17" t="s">
        <v>17</v>
      </c>
      <c r="S376" s="18">
        <f>COUNTIF(R374:S375,"✔")</f>
        <v>0</v>
      </c>
      <c r="T376" s="17" t="s">
        <v>18</v>
      </c>
      <c r="U376" s="18">
        <f>COUNTIF(T374:U375,"a")</f>
        <v>0</v>
      </c>
      <c r="V376" s="17" t="s">
        <v>17</v>
      </c>
      <c r="W376" s="18">
        <f>COUNTIF(V374:W375,"✔")</f>
        <v>0</v>
      </c>
      <c r="X376" s="17" t="s">
        <v>18</v>
      </c>
      <c r="Y376" s="18">
        <f>COUNTIF(X374:Y375,"a")</f>
        <v>0</v>
      </c>
      <c r="Z376" s="8"/>
      <c r="AA376" s="8"/>
    </row>
    <row r="377" spans="1:27" ht="12.75">
      <c r="A377" s="8"/>
      <c r="B377" s="47" t="s">
        <v>140</v>
      </c>
      <c r="C377" s="48"/>
      <c r="D377" s="48"/>
      <c r="E377" s="49"/>
      <c r="F377" s="43"/>
      <c r="G377" s="43"/>
      <c r="H377" s="43"/>
      <c r="I377" s="43"/>
      <c r="J377" s="43"/>
      <c r="K377" s="45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8"/>
      <c r="AA377" s="8"/>
    </row>
    <row r="378" spans="1:27" ht="12.75">
      <c r="A378" s="8"/>
      <c r="B378" s="50"/>
      <c r="C378" s="51"/>
      <c r="D378" s="51"/>
      <c r="E378" s="52"/>
      <c r="F378" s="44"/>
      <c r="G378" s="44"/>
      <c r="H378" s="44"/>
      <c r="I378" s="44"/>
      <c r="J378" s="44"/>
      <c r="K378" s="36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8"/>
      <c r="AA378" s="8"/>
    </row>
    <row r="379" spans="1:27" ht="15">
      <c r="A379" s="8"/>
      <c r="B379" s="40"/>
      <c r="C379" s="41"/>
      <c r="D379" s="41"/>
      <c r="E379" s="42"/>
      <c r="F379" s="17" t="s">
        <v>17</v>
      </c>
      <c r="G379" s="18">
        <f>COUNTIF(F377:G378,"✔")</f>
        <v>0</v>
      </c>
      <c r="H379" s="17" t="s">
        <v>18</v>
      </c>
      <c r="I379" s="18">
        <f>COUNTIF(H377:I378,"a")</f>
        <v>0</v>
      </c>
      <c r="J379" s="17" t="s">
        <v>17</v>
      </c>
      <c r="K379" s="18">
        <f>COUNTIF(J377:K378,"✔")</f>
        <v>0</v>
      </c>
      <c r="L379" s="17" t="s">
        <v>18</v>
      </c>
      <c r="M379" s="18">
        <f>COUNTIF(L377:M378,"a")</f>
        <v>0</v>
      </c>
      <c r="N379" s="17" t="s">
        <v>17</v>
      </c>
      <c r="O379" s="18">
        <f>COUNTIF(N377:O378,"✔")</f>
        <v>0</v>
      </c>
      <c r="P379" s="17" t="s">
        <v>18</v>
      </c>
      <c r="Q379" s="18">
        <f>COUNTIF(P377:Q378,"a")</f>
        <v>0</v>
      </c>
      <c r="R379" s="17" t="s">
        <v>17</v>
      </c>
      <c r="S379" s="18">
        <f>COUNTIF(R377:S378,"✔")</f>
        <v>0</v>
      </c>
      <c r="T379" s="17" t="s">
        <v>18</v>
      </c>
      <c r="U379" s="18">
        <f>COUNTIF(T377:U378,"a")</f>
        <v>0</v>
      </c>
      <c r="V379" s="17" t="s">
        <v>17</v>
      </c>
      <c r="W379" s="18">
        <f>COUNTIF(V377:W378,"✔")</f>
        <v>0</v>
      </c>
      <c r="X379" s="17" t="s">
        <v>18</v>
      </c>
      <c r="Y379" s="18">
        <f>COUNTIF(X377:Y378,"a")</f>
        <v>0</v>
      </c>
      <c r="Z379" s="8"/>
      <c r="AA379" s="8"/>
    </row>
    <row r="380" spans="1:27" ht="12.75">
      <c r="A380" s="8"/>
      <c r="B380" s="47" t="s">
        <v>141</v>
      </c>
      <c r="C380" s="48"/>
      <c r="D380" s="48"/>
      <c r="E380" s="49"/>
      <c r="F380" s="43"/>
      <c r="G380" s="43"/>
      <c r="H380" s="43"/>
      <c r="I380" s="43"/>
      <c r="J380" s="43"/>
      <c r="K380" s="45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8"/>
      <c r="AA380" s="8"/>
    </row>
    <row r="381" spans="1:27" ht="12.75">
      <c r="A381" s="8"/>
      <c r="B381" s="50"/>
      <c r="C381" s="51"/>
      <c r="D381" s="51"/>
      <c r="E381" s="52"/>
      <c r="F381" s="44"/>
      <c r="G381" s="44"/>
      <c r="H381" s="44"/>
      <c r="I381" s="44"/>
      <c r="J381" s="44"/>
      <c r="K381" s="36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8"/>
      <c r="AA381" s="8"/>
    </row>
    <row r="382" spans="1:27" ht="15">
      <c r="A382" s="8"/>
      <c r="B382" s="40"/>
      <c r="C382" s="41"/>
      <c r="D382" s="41"/>
      <c r="E382" s="42"/>
      <c r="F382" s="17" t="s">
        <v>17</v>
      </c>
      <c r="G382" s="18">
        <f>COUNTIF(F380:G381,"✔")</f>
        <v>0</v>
      </c>
      <c r="H382" s="17" t="s">
        <v>18</v>
      </c>
      <c r="I382" s="18">
        <f>COUNTIF(H380:I381,"a")</f>
        <v>0</v>
      </c>
      <c r="J382" s="17" t="s">
        <v>17</v>
      </c>
      <c r="K382" s="18">
        <f>COUNTIF(J380:K381,"✔")</f>
        <v>0</v>
      </c>
      <c r="L382" s="17" t="s">
        <v>18</v>
      </c>
      <c r="M382" s="18">
        <f>COUNTIF(L380:M381,"a")</f>
        <v>0</v>
      </c>
      <c r="N382" s="17" t="s">
        <v>17</v>
      </c>
      <c r="O382" s="18">
        <f>COUNTIF(N380:O381,"✔")</f>
        <v>0</v>
      </c>
      <c r="P382" s="17" t="s">
        <v>18</v>
      </c>
      <c r="Q382" s="18">
        <f>COUNTIF(P380:Q381,"a")</f>
        <v>0</v>
      </c>
      <c r="R382" s="17" t="s">
        <v>17</v>
      </c>
      <c r="S382" s="18">
        <f>COUNTIF(R380:S381,"✔")</f>
        <v>0</v>
      </c>
      <c r="T382" s="17" t="s">
        <v>18</v>
      </c>
      <c r="U382" s="18">
        <f>COUNTIF(T380:U381,"a")</f>
        <v>0</v>
      </c>
      <c r="V382" s="17" t="s">
        <v>17</v>
      </c>
      <c r="W382" s="18">
        <f>COUNTIF(V380:W381,"✔")</f>
        <v>0</v>
      </c>
      <c r="X382" s="17" t="s">
        <v>18</v>
      </c>
      <c r="Y382" s="18">
        <f>COUNTIF(X380:Y381,"a")</f>
        <v>0</v>
      </c>
      <c r="Z382" s="8"/>
      <c r="AA382" s="8"/>
    </row>
    <row r="383" spans="1:27" ht="12.75">
      <c r="A383" s="8"/>
      <c r="B383" s="47" t="s">
        <v>142</v>
      </c>
      <c r="C383" s="48"/>
      <c r="D383" s="48"/>
      <c r="E383" s="49"/>
      <c r="F383" s="43"/>
      <c r="G383" s="43"/>
      <c r="H383" s="43"/>
      <c r="I383" s="43"/>
      <c r="J383" s="43"/>
      <c r="K383" s="45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8"/>
      <c r="AA383" s="8"/>
    </row>
    <row r="384" spans="1:27" ht="12.75">
      <c r="A384" s="8"/>
      <c r="B384" s="50"/>
      <c r="C384" s="51"/>
      <c r="D384" s="51"/>
      <c r="E384" s="52"/>
      <c r="F384" s="44"/>
      <c r="G384" s="44"/>
      <c r="H384" s="44"/>
      <c r="I384" s="44"/>
      <c r="J384" s="44"/>
      <c r="K384" s="36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8"/>
      <c r="AA384" s="8"/>
    </row>
    <row r="385" spans="1:27" ht="15">
      <c r="A385" s="8"/>
      <c r="B385" s="40"/>
      <c r="C385" s="41"/>
      <c r="D385" s="41"/>
      <c r="E385" s="42"/>
      <c r="F385" s="17" t="s">
        <v>17</v>
      </c>
      <c r="G385" s="18">
        <f>COUNTIF(F383:G384,"✔")</f>
        <v>0</v>
      </c>
      <c r="H385" s="17" t="s">
        <v>18</v>
      </c>
      <c r="I385" s="18">
        <f>COUNTIF(H383:I384,"a")</f>
        <v>0</v>
      </c>
      <c r="J385" s="17" t="s">
        <v>17</v>
      </c>
      <c r="K385" s="18">
        <f>COUNTIF(J383:K384,"✔")</f>
        <v>0</v>
      </c>
      <c r="L385" s="17" t="s">
        <v>18</v>
      </c>
      <c r="M385" s="18">
        <f>COUNTIF(L383:M384,"a")</f>
        <v>0</v>
      </c>
      <c r="N385" s="17" t="s">
        <v>17</v>
      </c>
      <c r="O385" s="18">
        <f>COUNTIF(N383:O384,"✔")</f>
        <v>0</v>
      </c>
      <c r="P385" s="17" t="s">
        <v>18</v>
      </c>
      <c r="Q385" s="18">
        <f>COUNTIF(P383:Q384,"a")</f>
        <v>0</v>
      </c>
      <c r="R385" s="17" t="s">
        <v>17</v>
      </c>
      <c r="S385" s="18">
        <f>COUNTIF(R383:S384,"✔")</f>
        <v>0</v>
      </c>
      <c r="T385" s="17" t="s">
        <v>18</v>
      </c>
      <c r="U385" s="18">
        <f>COUNTIF(T383:U384,"a")</f>
        <v>0</v>
      </c>
      <c r="V385" s="17" t="s">
        <v>17</v>
      </c>
      <c r="W385" s="18">
        <f>COUNTIF(V383:W384,"✔")</f>
        <v>0</v>
      </c>
      <c r="X385" s="17" t="s">
        <v>18</v>
      </c>
      <c r="Y385" s="18">
        <f>COUNTIF(X383:Y384,"a")</f>
        <v>0</v>
      </c>
      <c r="Z385" s="8"/>
      <c r="AA385" s="8"/>
    </row>
    <row r="386" spans="1:27" ht="12.75">
      <c r="A386" s="8"/>
      <c r="B386" s="47" t="s">
        <v>143</v>
      </c>
      <c r="C386" s="48"/>
      <c r="D386" s="48"/>
      <c r="E386" s="49"/>
      <c r="F386" s="43"/>
      <c r="G386" s="43"/>
      <c r="H386" s="43"/>
      <c r="I386" s="43"/>
      <c r="J386" s="43"/>
      <c r="K386" s="45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8"/>
      <c r="AA386" s="8"/>
    </row>
    <row r="387" spans="1:27" ht="12.75">
      <c r="A387" s="8"/>
      <c r="B387" s="50"/>
      <c r="C387" s="51"/>
      <c r="D387" s="51"/>
      <c r="E387" s="52"/>
      <c r="F387" s="44"/>
      <c r="G387" s="44"/>
      <c r="H387" s="44"/>
      <c r="I387" s="44"/>
      <c r="J387" s="44"/>
      <c r="K387" s="36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8"/>
      <c r="AA387" s="8"/>
    </row>
    <row r="388" spans="1:27" ht="15">
      <c r="A388" s="8"/>
      <c r="B388" s="40"/>
      <c r="C388" s="41"/>
      <c r="D388" s="41"/>
      <c r="E388" s="42"/>
      <c r="F388" s="17" t="s">
        <v>17</v>
      </c>
      <c r="G388" s="18">
        <f>COUNTIF(F386:G387,"✔")</f>
        <v>0</v>
      </c>
      <c r="H388" s="17" t="s">
        <v>18</v>
      </c>
      <c r="I388" s="18">
        <f>COUNTIF(H386:I387,"a")</f>
        <v>0</v>
      </c>
      <c r="J388" s="17" t="s">
        <v>17</v>
      </c>
      <c r="K388" s="18">
        <f>COUNTIF(J386:K387,"✔")</f>
        <v>0</v>
      </c>
      <c r="L388" s="17" t="s">
        <v>18</v>
      </c>
      <c r="M388" s="18">
        <f>COUNTIF(L386:M387,"a")</f>
        <v>0</v>
      </c>
      <c r="N388" s="17" t="s">
        <v>17</v>
      </c>
      <c r="O388" s="18">
        <f>COUNTIF(N386:O387,"✔")</f>
        <v>0</v>
      </c>
      <c r="P388" s="17" t="s">
        <v>18</v>
      </c>
      <c r="Q388" s="18">
        <f>COUNTIF(P386:Q387,"a")</f>
        <v>0</v>
      </c>
      <c r="R388" s="17" t="s">
        <v>17</v>
      </c>
      <c r="S388" s="18">
        <f>COUNTIF(R386:S387,"✔")</f>
        <v>0</v>
      </c>
      <c r="T388" s="17" t="s">
        <v>18</v>
      </c>
      <c r="U388" s="18">
        <f>COUNTIF(T386:U387,"a")</f>
        <v>0</v>
      </c>
      <c r="V388" s="17" t="s">
        <v>17</v>
      </c>
      <c r="W388" s="18">
        <f>COUNTIF(V386:W387,"✔")</f>
        <v>0</v>
      </c>
      <c r="X388" s="17" t="s">
        <v>18</v>
      </c>
      <c r="Y388" s="18">
        <f>COUNTIF(X386:Y387,"a")</f>
        <v>0</v>
      </c>
      <c r="Z388" s="8"/>
      <c r="AA388" s="8"/>
    </row>
    <row r="389" spans="1:27" ht="12.75">
      <c r="A389" s="8"/>
      <c r="B389" s="47" t="s">
        <v>144</v>
      </c>
      <c r="C389" s="48"/>
      <c r="D389" s="48"/>
      <c r="E389" s="49"/>
      <c r="F389" s="43"/>
      <c r="G389" s="43"/>
      <c r="H389" s="43"/>
      <c r="I389" s="43"/>
      <c r="J389" s="43"/>
      <c r="K389" s="45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8"/>
      <c r="AA389" s="8"/>
    </row>
    <row r="390" spans="1:27" ht="12.75">
      <c r="A390" s="8"/>
      <c r="B390" s="50"/>
      <c r="C390" s="51"/>
      <c r="D390" s="51"/>
      <c r="E390" s="52"/>
      <c r="F390" s="44"/>
      <c r="G390" s="44"/>
      <c r="H390" s="44"/>
      <c r="I390" s="44"/>
      <c r="J390" s="44"/>
      <c r="K390" s="36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8"/>
      <c r="AA390" s="8"/>
    </row>
    <row r="391" spans="1:27" ht="15">
      <c r="A391" s="8"/>
      <c r="B391" s="40"/>
      <c r="C391" s="41"/>
      <c r="D391" s="41"/>
      <c r="E391" s="42"/>
      <c r="F391" s="17" t="s">
        <v>17</v>
      </c>
      <c r="G391" s="18">
        <f>COUNTIF(F389:G390,"✔")</f>
        <v>0</v>
      </c>
      <c r="H391" s="17" t="s">
        <v>18</v>
      </c>
      <c r="I391" s="18">
        <f>COUNTIF(H389:I390,"a")</f>
        <v>0</v>
      </c>
      <c r="J391" s="17" t="s">
        <v>17</v>
      </c>
      <c r="K391" s="18">
        <f>COUNTIF(J389:K390,"✔")</f>
        <v>0</v>
      </c>
      <c r="L391" s="17" t="s">
        <v>18</v>
      </c>
      <c r="M391" s="18">
        <f>COUNTIF(L389:M390,"a")</f>
        <v>0</v>
      </c>
      <c r="N391" s="17" t="s">
        <v>17</v>
      </c>
      <c r="O391" s="18">
        <f>COUNTIF(N389:O390,"✔")</f>
        <v>0</v>
      </c>
      <c r="P391" s="17" t="s">
        <v>18</v>
      </c>
      <c r="Q391" s="18">
        <f>COUNTIF(P389:Q390,"a")</f>
        <v>0</v>
      </c>
      <c r="R391" s="17" t="s">
        <v>17</v>
      </c>
      <c r="S391" s="18">
        <f>COUNTIF(R389:S390,"✔")</f>
        <v>0</v>
      </c>
      <c r="T391" s="17" t="s">
        <v>18</v>
      </c>
      <c r="U391" s="18">
        <f>COUNTIF(T389:U390,"a")</f>
        <v>0</v>
      </c>
      <c r="V391" s="17" t="s">
        <v>17</v>
      </c>
      <c r="W391" s="18">
        <f>COUNTIF(V389:W390,"✔")</f>
        <v>0</v>
      </c>
      <c r="X391" s="17" t="s">
        <v>18</v>
      </c>
      <c r="Y391" s="18">
        <f>COUNTIF(X389:Y390,"a")</f>
        <v>0</v>
      </c>
      <c r="Z391" s="8"/>
      <c r="AA391" s="8"/>
    </row>
    <row r="392" spans="1:27" ht="12.75">
      <c r="A392" s="8"/>
      <c r="B392" s="47" t="s">
        <v>145</v>
      </c>
      <c r="C392" s="48"/>
      <c r="D392" s="48"/>
      <c r="E392" s="49"/>
      <c r="F392" s="43"/>
      <c r="G392" s="43"/>
      <c r="H392" s="43"/>
      <c r="I392" s="43"/>
      <c r="J392" s="43"/>
      <c r="K392" s="45"/>
      <c r="L392" s="43"/>
      <c r="M392" s="43"/>
      <c r="N392" s="43"/>
      <c r="O392" s="43"/>
      <c r="P392" s="43"/>
      <c r="Q392" s="43"/>
      <c r="R392" s="43"/>
      <c r="S392" s="43"/>
      <c r="T392" s="53"/>
      <c r="U392" s="43"/>
      <c r="V392" s="43"/>
      <c r="W392" s="43"/>
      <c r="X392" s="53"/>
      <c r="Y392" s="43"/>
      <c r="Z392" s="8"/>
      <c r="AA392" s="8"/>
    </row>
    <row r="393" spans="1:27" ht="12.75">
      <c r="A393" s="8"/>
      <c r="B393" s="50"/>
      <c r="C393" s="51"/>
      <c r="D393" s="51"/>
      <c r="E393" s="52"/>
      <c r="F393" s="44"/>
      <c r="G393" s="44"/>
      <c r="H393" s="44"/>
      <c r="I393" s="44"/>
      <c r="J393" s="44"/>
      <c r="K393" s="36"/>
      <c r="L393" s="44"/>
      <c r="M393" s="44"/>
      <c r="N393" s="44"/>
      <c r="O393" s="44"/>
      <c r="P393" s="44"/>
      <c r="Q393" s="44"/>
      <c r="R393" s="44"/>
      <c r="S393" s="44"/>
      <c r="T393" s="36"/>
      <c r="U393" s="44"/>
      <c r="V393" s="44"/>
      <c r="W393" s="44"/>
      <c r="X393" s="36"/>
      <c r="Y393" s="44"/>
      <c r="Z393" s="8"/>
      <c r="AA393" s="8"/>
    </row>
    <row r="394" spans="1:27" ht="15">
      <c r="A394" s="8"/>
      <c r="B394" s="40"/>
      <c r="C394" s="41"/>
      <c r="D394" s="41"/>
      <c r="E394" s="42"/>
      <c r="F394" s="17" t="s">
        <v>17</v>
      </c>
      <c r="G394" s="18">
        <f>COUNTIF(F392:G393,"✔")</f>
        <v>0</v>
      </c>
      <c r="H394" s="17" t="s">
        <v>18</v>
      </c>
      <c r="I394" s="18">
        <f>COUNTIF(H392:I393,"a")</f>
        <v>0</v>
      </c>
      <c r="J394" s="17" t="s">
        <v>17</v>
      </c>
      <c r="K394" s="18">
        <f>COUNTIF(J392:K393,"✔")</f>
        <v>0</v>
      </c>
      <c r="L394" s="17" t="s">
        <v>18</v>
      </c>
      <c r="M394" s="18">
        <f>COUNTIF(L392:M393,"a")</f>
        <v>0</v>
      </c>
      <c r="N394" s="17" t="s">
        <v>17</v>
      </c>
      <c r="O394" s="18">
        <f>COUNTIF(N392:O393,"✔")</f>
        <v>0</v>
      </c>
      <c r="P394" s="17" t="s">
        <v>18</v>
      </c>
      <c r="Q394" s="18">
        <f>COUNTIF(P392:Q393,"a")</f>
        <v>0</v>
      </c>
      <c r="R394" s="17" t="s">
        <v>17</v>
      </c>
      <c r="S394" s="18">
        <f>COUNTIF(R392:S393,"✔")</f>
        <v>0</v>
      </c>
      <c r="T394" s="17" t="s">
        <v>18</v>
      </c>
      <c r="U394" s="18">
        <f>COUNTIF(T392:U393,"a")</f>
        <v>0</v>
      </c>
      <c r="V394" s="17" t="s">
        <v>17</v>
      </c>
      <c r="W394" s="18">
        <f>COUNTIF(V392:W393,"✔")</f>
        <v>0</v>
      </c>
      <c r="X394" s="17" t="s">
        <v>18</v>
      </c>
      <c r="Y394" s="18">
        <f>COUNTIF(X392:Y393,"a")</f>
        <v>0</v>
      </c>
      <c r="Z394" s="8"/>
      <c r="AA394" s="8"/>
    </row>
    <row r="395" spans="1:27" ht="12.75">
      <c r="A395" s="8"/>
      <c r="B395" s="47" t="s">
        <v>146</v>
      </c>
      <c r="C395" s="48"/>
      <c r="D395" s="48"/>
      <c r="E395" s="49"/>
      <c r="F395" s="43"/>
      <c r="G395" s="43"/>
      <c r="H395" s="43"/>
      <c r="I395" s="43"/>
      <c r="J395" s="43"/>
      <c r="K395" s="45"/>
      <c r="L395" s="43"/>
      <c r="M395" s="43"/>
      <c r="N395" s="43"/>
      <c r="O395" s="43"/>
      <c r="P395" s="43"/>
      <c r="Q395" s="43"/>
      <c r="R395" s="43"/>
      <c r="S395" s="43"/>
      <c r="T395" s="53"/>
      <c r="U395" s="43"/>
      <c r="V395" s="43"/>
      <c r="W395" s="43"/>
      <c r="X395" s="53"/>
      <c r="Y395" s="43"/>
      <c r="Z395" s="8"/>
      <c r="AA395" s="8"/>
    </row>
    <row r="396" spans="1:27" ht="12.75">
      <c r="A396" s="8"/>
      <c r="B396" s="50"/>
      <c r="C396" s="51"/>
      <c r="D396" s="51"/>
      <c r="E396" s="52"/>
      <c r="F396" s="44"/>
      <c r="G396" s="44"/>
      <c r="H396" s="44"/>
      <c r="I396" s="44"/>
      <c r="J396" s="44"/>
      <c r="K396" s="36"/>
      <c r="L396" s="44"/>
      <c r="M396" s="44"/>
      <c r="N396" s="44"/>
      <c r="O396" s="44"/>
      <c r="P396" s="44"/>
      <c r="Q396" s="44"/>
      <c r="R396" s="44"/>
      <c r="S396" s="44"/>
      <c r="T396" s="36"/>
      <c r="U396" s="44"/>
      <c r="V396" s="44"/>
      <c r="W396" s="44"/>
      <c r="X396" s="36"/>
      <c r="Y396" s="44"/>
      <c r="Z396" s="8"/>
      <c r="AA396" s="8"/>
    </row>
    <row r="397" spans="1:27" ht="15">
      <c r="A397" s="8"/>
      <c r="B397" s="40"/>
      <c r="C397" s="41"/>
      <c r="D397" s="41"/>
      <c r="E397" s="42"/>
      <c r="F397" s="17" t="s">
        <v>17</v>
      </c>
      <c r="G397" s="18">
        <f>COUNTIF(F395:G396,"✔")</f>
        <v>0</v>
      </c>
      <c r="H397" s="17" t="s">
        <v>18</v>
      </c>
      <c r="I397" s="18">
        <f>COUNTIF(H395:I396,"a")</f>
        <v>0</v>
      </c>
      <c r="J397" s="17" t="s">
        <v>17</v>
      </c>
      <c r="K397" s="18">
        <f>COUNTIF(J395:K396,"✔")</f>
        <v>0</v>
      </c>
      <c r="L397" s="17" t="s">
        <v>18</v>
      </c>
      <c r="M397" s="18">
        <f>COUNTIF(L395:M396,"a")</f>
        <v>0</v>
      </c>
      <c r="N397" s="17" t="s">
        <v>17</v>
      </c>
      <c r="O397" s="18">
        <f>COUNTIF(N395:O396,"✔")</f>
        <v>0</v>
      </c>
      <c r="P397" s="17" t="s">
        <v>18</v>
      </c>
      <c r="Q397" s="18">
        <f>COUNTIF(P395:Q396,"a")</f>
        <v>0</v>
      </c>
      <c r="R397" s="17" t="s">
        <v>17</v>
      </c>
      <c r="S397" s="18">
        <f>COUNTIF(R395:S396,"✔")</f>
        <v>0</v>
      </c>
      <c r="T397" s="17" t="s">
        <v>18</v>
      </c>
      <c r="U397" s="18">
        <f>COUNTIF(T395:U396,"a")</f>
        <v>0</v>
      </c>
      <c r="V397" s="17" t="s">
        <v>17</v>
      </c>
      <c r="W397" s="18">
        <f>COUNTIF(V395:W396,"✔")</f>
        <v>0</v>
      </c>
      <c r="X397" s="17" t="s">
        <v>18</v>
      </c>
      <c r="Y397" s="18">
        <f>COUNTIF(X395:Y396,"a")</f>
        <v>0</v>
      </c>
      <c r="Z397" s="8"/>
      <c r="AA397" s="8"/>
    </row>
    <row r="398" spans="1:27" ht="12.75">
      <c r="A398" s="8"/>
      <c r="B398" s="47" t="s">
        <v>147</v>
      </c>
      <c r="C398" s="48"/>
      <c r="D398" s="48"/>
      <c r="E398" s="49"/>
      <c r="F398" s="43"/>
      <c r="G398" s="43"/>
      <c r="H398" s="43"/>
      <c r="I398" s="43"/>
      <c r="J398" s="43"/>
      <c r="K398" s="45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8"/>
      <c r="AA398" s="8"/>
    </row>
    <row r="399" spans="1:27" ht="12.75">
      <c r="A399" s="8"/>
      <c r="B399" s="50"/>
      <c r="C399" s="51"/>
      <c r="D399" s="51"/>
      <c r="E399" s="52"/>
      <c r="F399" s="44"/>
      <c r="G399" s="44"/>
      <c r="H399" s="44"/>
      <c r="I399" s="44"/>
      <c r="J399" s="44"/>
      <c r="K399" s="36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8"/>
      <c r="AA399" s="8"/>
    </row>
    <row r="400" spans="1:27" ht="15">
      <c r="A400" s="8"/>
      <c r="B400" s="40"/>
      <c r="C400" s="41"/>
      <c r="D400" s="41"/>
      <c r="E400" s="42"/>
      <c r="F400" s="17" t="s">
        <v>17</v>
      </c>
      <c r="G400" s="18">
        <f>COUNTIF(F398:G399,"✔")</f>
        <v>0</v>
      </c>
      <c r="H400" s="17" t="s">
        <v>18</v>
      </c>
      <c r="I400" s="18">
        <f>COUNTIF(H398:I399,"a")</f>
        <v>0</v>
      </c>
      <c r="J400" s="17" t="s">
        <v>17</v>
      </c>
      <c r="K400" s="18">
        <f>COUNTIF(J398:K399,"✔")</f>
        <v>0</v>
      </c>
      <c r="L400" s="17" t="s">
        <v>18</v>
      </c>
      <c r="M400" s="18">
        <f>COUNTIF(L398:M399,"a")</f>
        <v>0</v>
      </c>
      <c r="N400" s="17" t="s">
        <v>17</v>
      </c>
      <c r="O400" s="18">
        <f>COUNTIF(N398:O399,"✔")</f>
        <v>0</v>
      </c>
      <c r="P400" s="17" t="s">
        <v>18</v>
      </c>
      <c r="Q400" s="18">
        <f>COUNTIF(P398:Q399,"a")</f>
        <v>0</v>
      </c>
      <c r="R400" s="17" t="s">
        <v>17</v>
      </c>
      <c r="S400" s="18">
        <f>COUNTIF(R398:S399,"✔")</f>
        <v>0</v>
      </c>
      <c r="T400" s="17" t="s">
        <v>18</v>
      </c>
      <c r="U400" s="18">
        <f>COUNTIF(T398:U399,"a")</f>
        <v>0</v>
      </c>
      <c r="V400" s="17" t="s">
        <v>17</v>
      </c>
      <c r="W400" s="18">
        <f>COUNTIF(V398:W399,"✔")</f>
        <v>0</v>
      </c>
      <c r="X400" s="17" t="s">
        <v>18</v>
      </c>
      <c r="Y400" s="18">
        <f>COUNTIF(X398:Y399,"a")</f>
        <v>0</v>
      </c>
      <c r="Z400" s="8"/>
      <c r="AA400" s="8"/>
    </row>
    <row r="401" spans="1:27" ht="12.75">
      <c r="A401" s="8"/>
      <c r="B401" s="47" t="s">
        <v>148</v>
      </c>
      <c r="C401" s="48"/>
      <c r="D401" s="48"/>
      <c r="E401" s="49"/>
      <c r="F401" s="43"/>
      <c r="G401" s="43"/>
      <c r="H401" s="43"/>
      <c r="I401" s="43"/>
      <c r="J401" s="43"/>
      <c r="K401" s="45"/>
      <c r="L401" s="43"/>
      <c r="M401" s="43"/>
      <c r="N401" s="43"/>
      <c r="O401" s="43"/>
      <c r="P401" s="43"/>
      <c r="Q401" s="43"/>
      <c r="R401" s="43"/>
      <c r="S401" s="43"/>
      <c r="T401" s="53"/>
      <c r="U401" s="43"/>
      <c r="V401" s="43"/>
      <c r="W401" s="43"/>
      <c r="X401" s="53"/>
      <c r="Y401" s="43"/>
      <c r="Z401" s="8"/>
      <c r="AA401" s="8"/>
    </row>
    <row r="402" spans="1:27" ht="12.75">
      <c r="A402" s="8"/>
      <c r="B402" s="50"/>
      <c r="C402" s="51"/>
      <c r="D402" s="51"/>
      <c r="E402" s="52"/>
      <c r="F402" s="44"/>
      <c r="G402" s="44"/>
      <c r="H402" s="44"/>
      <c r="I402" s="44"/>
      <c r="J402" s="44"/>
      <c r="K402" s="36"/>
      <c r="L402" s="44"/>
      <c r="M402" s="44"/>
      <c r="N402" s="44"/>
      <c r="O402" s="44"/>
      <c r="P402" s="44"/>
      <c r="Q402" s="44"/>
      <c r="R402" s="44"/>
      <c r="S402" s="44"/>
      <c r="T402" s="36"/>
      <c r="U402" s="44"/>
      <c r="V402" s="44"/>
      <c r="W402" s="44"/>
      <c r="X402" s="36"/>
      <c r="Y402" s="44"/>
      <c r="Z402" s="8"/>
      <c r="AA402" s="8"/>
    </row>
    <row r="403" spans="1:27" ht="15">
      <c r="A403" s="8"/>
      <c r="B403" s="40"/>
      <c r="C403" s="41"/>
      <c r="D403" s="41"/>
      <c r="E403" s="42"/>
      <c r="F403" s="17" t="s">
        <v>17</v>
      </c>
      <c r="G403" s="18">
        <f>COUNTIF(F401:G402,"✔")</f>
        <v>0</v>
      </c>
      <c r="H403" s="17" t="s">
        <v>18</v>
      </c>
      <c r="I403" s="18">
        <f>COUNTIF(H401:I402,"a")</f>
        <v>0</v>
      </c>
      <c r="J403" s="17" t="s">
        <v>17</v>
      </c>
      <c r="K403" s="18">
        <f>COUNTIF(J401:K402,"✔")</f>
        <v>0</v>
      </c>
      <c r="L403" s="17" t="s">
        <v>18</v>
      </c>
      <c r="M403" s="18">
        <f>COUNTIF(L401:M402,"a")</f>
        <v>0</v>
      </c>
      <c r="N403" s="17" t="s">
        <v>17</v>
      </c>
      <c r="O403" s="18">
        <f>COUNTIF(N401:O402,"✔")</f>
        <v>0</v>
      </c>
      <c r="P403" s="17" t="s">
        <v>18</v>
      </c>
      <c r="Q403" s="18">
        <f>COUNTIF(P401:Q402,"a")</f>
        <v>0</v>
      </c>
      <c r="R403" s="17" t="s">
        <v>17</v>
      </c>
      <c r="S403" s="18">
        <f>COUNTIF(R401:S402,"✔")</f>
        <v>0</v>
      </c>
      <c r="T403" s="17" t="s">
        <v>18</v>
      </c>
      <c r="U403" s="18">
        <f>COUNTIF(T401:U402,"a")</f>
        <v>0</v>
      </c>
      <c r="V403" s="17" t="s">
        <v>17</v>
      </c>
      <c r="W403" s="18">
        <f>COUNTIF(V401:W402,"✔")</f>
        <v>0</v>
      </c>
      <c r="X403" s="17" t="s">
        <v>18</v>
      </c>
      <c r="Y403" s="18">
        <f>COUNTIF(X401:Y402,"a")</f>
        <v>0</v>
      </c>
      <c r="Z403" s="8"/>
      <c r="AA403" s="8"/>
    </row>
    <row r="404" spans="1:27" ht="12.75">
      <c r="A404" s="8"/>
      <c r="B404" s="47" t="s">
        <v>149</v>
      </c>
      <c r="C404" s="48"/>
      <c r="D404" s="48"/>
      <c r="E404" s="49"/>
      <c r="F404" s="43"/>
      <c r="G404" s="43"/>
      <c r="H404" s="43"/>
      <c r="I404" s="43"/>
      <c r="J404" s="43"/>
      <c r="K404" s="45"/>
      <c r="L404" s="43"/>
      <c r="M404" s="43"/>
      <c r="N404" s="43"/>
      <c r="O404" s="43"/>
      <c r="P404" s="43"/>
      <c r="Q404" s="43"/>
      <c r="R404" s="43"/>
      <c r="S404" s="43"/>
      <c r="T404" s="53"/>
      <c r="U404" s="43"/>
      <c r="V404" s="43"/>
      <c r="W404" s="43"/>
      <c r="X404" s="53"/>
      <c r="Y404" s="43"/>
      <c r="Z404" s="8"/>
      <c r="AA404" s="8"/>
    </row>
    <row r="405" spans="1:27" ht="12.75">
      <c r="A405" s="8"/>
      <c r="B405" s="50"/>
      <c r="C405" s="51"/>
      <c r="D405" s="51"/>
      <c r="E405" s="52"/>
      <c r="F405" s="44"/>
      <c r="G405" s="44"/>
      <c r="H405" s="44"/>
      <c r="I405" s="44"/>
      <c r="J405" s="44"/>
      <c r="K405" s="36"/>
      <c r="L405" s="44"/>
      <c r="M405" s="44"/>
      <c r="N405" s="44"/>
      <c r="O405" s="44"/>
      <c r="P405" s="44"/>
      <c r="Q405" s="44"/>
      <c r="R405" s="44"/>
      <c r="S405" s="44"/>
      <c r="T405" s="36"/>
      <c r="U405" s="44"/>
      <c r="V405" s="44"/>
      <c r="W405" s="44"/>
      <c r="X405" s="36"/>
      <c r="Y405" s="44"/>
      <c r="Z405" s="8"/>
      <c r="AA405" s="8"/>
    </row>
    <row r="406" spans="1:27" ht="15">
      <c r="A406" s="8"/>
      <c r="B406" s="40"/>
      <c r="C406" s="41"/>
      <c r="D406" s="41"/>
      <c r="E406" s="42"/>
      <c r="F406" s="17" t="s">
        <v>17</v>
      </c>
      <c r="G406" s="18">
        <f>COUNTIF(F404:G405,"✔")</f>
        <v>0</v>
      </c>
      <c r="H406" s="17" t="s">
        <v>18</v>
      </c>
      <c r="I406" s="18">
        <f>COUNTIF(H404:I405,"a")</f>
        <v>0</v>
      </c>
      <c r="J406" s="17" t="s">
        <v>17</v>
      </c>
      <c r="K406" s="18">
        <f>COUNTIF(J404:K405,"✔")</f>
        <v>0</v>
      </c>
      <c r="L406" s="17" t="s">
        <v>18</v>
      </c>
      <c r="M406" s="18">
        <f>COUNTIF(L404:M405,"a")</f>
        <v>0</v>
      </c>
      <c r="N406" s="17" t="s">
        <v>17</v>
      </c>
      <c r="O406" s="18">
        <f>COUNTIF(N404:O405,"✔")</f>
        <v>0</v>
      </c>
      <c r="P406" s="17" t="s">
        <v>18</v>
      </c>
      <c r="Q406" s="18">
        <f>COUNTIF(P404:Q405,"a")</f>
        <v>0</v>
      </c>
      <c r="R406" s="17" t="s">
        <v>17</v>
      </c>
      <c r="S406" s="18">
        <f>COUNTIF(R404:S405,"✔")</f>
        <v>0</v>
      </c>
      <c r="T406" s="17" t="s">
        <v>18</v>
      </c>
      <c r="U406" s="18">
        <f>COUNTIF(T404:U405,"a")</f>
        <v>0</v>
      </c>
      <c r="V406" s="17" t="s">
        <v>17</v>
      </c>
      <c r="W406" s="18">
        <f>COUNTIF(V404:W405,"✔")</f>
        <v>0</v>
      </c>
      <c r="X406" s="17" t="s">
        <v>18</v>
      </c>
      <c r="Y406" s="18">
        <f>COUNTIF(X404:Y405,"a")</f>
        <v>0</v>
      </c>
      <c r="Z406" s="8"/>
      <c r="AA406" s="8"/>
    </row>
    <row r="407" spans="1:27" ht="12.75">
      <c r="A407" s="8"/>
      <c r="B407" s="47" t="s">
        <v>150</v>
      </c>
      <c r="C407" s="48"/>
      <c r="D407" s="48"/>
      <c r="E407" s="49"/>
      <c r="F407" s="43"/>
      <c r="G407" s="43"/>
      <c r="H407" s="43"/>
      <c r="I407" s="43"/>
      <c r="J407" s="43"/>
      <c r="K407" s="45"/>
      <c r="L407" s="43"/>
      <c r="M407" s="43"/>
      <c r="N407" s="43"/>
      <c r="O407" s="43"/>
      <c r="P407" s="43"/>
      <c r="Q407" s="43"/>
      <c r="R407" s="43"/>
      <c r="S407" s="43"/>
      <c r="T407" s="53"/>
      <c r="U407" s="43"/>
      <c r="V407" s="43"/>
      <c r="W407" s="43"/>
      <c r="X407" s="53"/>
      <c r="Y407" s="43"/>
      <c r="Z407" s="8"/>
      <c r="AA407" s="8"/>
    </row>
    <row r="408" spans="1:27" ht="12.75">
      <c r="A408" s="8"/>
      <c r="B408" s="50"/>
      <c r="C408" s="51"/>
      <c r="D408" s="51"/>
      <c r="E408" s="52"/>
      <c r="F408" s="44"/>
      <c r="G408" s="44"/>
      <c r="H408" s="44"/>
      <c r="I408" s="44"/>
      <c r="J408" s="44"/>
      <c r="K408" s="36"/>
      <c r="L408" s="44"/>
      <c r="M408" s="44"/>
      <c r="N408" s="44"/>
      <c r="O408" s="44"/>
      <c r="P408" s="44"/>
      <c r="Q408" s="44"/>
      <c r="R408" s="44"/>
      <c r="S408" s="44"/>
      <c r="T408" s="36"/>
      <c r="U408" s="44"/>
      <c r="V408" s="44"/>
      <c r="W408" s="44"/>
      <c r="X408" s="36"/>
      <c r="Y408" s="44"/>
      <c r="Z408" s="8"/>
      <c r="AA408" s="8"/>
    </row>
    <row r="409" spans="1:27" ht="15">
      <c r="A409" s="8"/>
      <c r="B409" s="40"/>
      <c r="C409" s="41"/>
      <c r="D409" s="41"/>
      <c r="E409" s="42"/>
      <c r="F409" s="17" t="s">
        <v>17</v>
      </c>
      <c r="G409" s="18">
        <f>COUNTIF(F407:G408,"✔")</f>
        <v>0</v>
      </c>
      <c r="H409" s="17" t="s">
        <v>18</v>
      </c>
      <c r="I409" s="18">
        <f>COUNTIF(H407:I408,"a")</f>
        <v>0</v>
      </c>
      <c r="J409" s="17" t="s">
        <v>17</v>
      </c>
      <c r="K409" s="18">
        <f>COUNTIF(J407:K408,"✔")</f>
        <v>0</v>
      </c>
      <c r="L409" s="17" t="s">
        <v>18</v>
      </c>
      <c r="M409" s="18">
        <f>COUNTIF(L407:M408,"a")</f>
        <v>0</v>
      </c>
      <c r="N409" s="17" t="s">
        <v>17</v>
      </c>
      <c r="O409" s="18">
        <f>COUNTIF(N407:O408,"✔")</f>
        <v>0</v>
      </c>
      <c r="P409" s="17" t="s">
        <v>18</v>
      </c>
      <c r="Q409" s="18">
        <f>COUNTIF(P407:Q408,"a")</f>
        <v>0</v>
      </c>
      <c r="R409" s="17" t="s">
        <v>17</v>
      </c>
      <c r="S409" s="18">
        <f>COUNTIF(R407:S408,"✔")</f>
        <v>0</v>
      </c>
      <c r="T409" s="17" t="s">
        <v>18</v>
      </c>
      <c r="U409" s="18">
        <f>COUNTIF(T407:U408,"a")</f>
        <v>0</v>
      </c>
      <c r="V409" s="17" t="s">
        <v>17</v>
      </c>
      <c r="W409" s="18">
        <f>COUNTIF(V407:W408,"✔")</f>
        <v>0</v>
      </c>
      <c r="X409" s="17" t="s">
        <v>18</v>
      </c>
      <c r="Y409" s="18">
        <f>COUNTIF(X407:Y408,"a")</f>
        <v>0</v>
      </c>
      <c r="Z409" s="8"/>
      <c r="AA409" s="8"/>
    </row>
    <row r="410" spans="1:27" ht="12.75">
      <c r="A410" s="8"/>
      <c r="B410" s="47" t="s">
        <v>151</v>
      </c>
      <c r="C410" s="48"/>
      <c r="D410" s="48"/>
      <c r="E410" s="49"/>
      <c r="F410" s="43"/>
      <c r="G410" s="43"/>
      <c r="H410" s="43"/>
      <c r="I410" s="43"/>
      <c r="J410" s="43"/>
      <c r="K410" s="45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8"/>
      <c r="AA410" s="8"/>
    </row>
    <row r="411" spans="1:27" ht="12.75">
      <c r="A411" s="8"/>
      <c r="B411" s="50"/>
      <c r="C411" s="51"/>
      <c r="D411" s="51"/>
      <c r="E411" s="52"/>
      <c r="F411" s="44"/>
      <c r="G411" s="44"/>
      <c r="H411" s="44"/>
      <c r="I411" s="44"/>
      <c r="J411" s="44"/>
      <c r="K411" s="36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8"/>
      <c r="AA411" s="8"/>
    </row>
    <row r="412" spans="1:27" ht="15">
      <c r="A412" s="8"/>
      <c r="B412" s="40"/>
      <c r="C412" s="41"/>
      <c r="D412" s="41"/>
      <c r="E412" s="42"/>
      <c r="F412" s="17" t="s">
        <v>17</v>
      </c>
      <c r="G412" s="18">
        <f>COUNTIF(F410:G411,"✔")</f>
        <v>0</v>
      </c>
      <c r="H412" s="17" t="s">
        <v>18</v>
      </c>
      <c r="I412" s="18">
        <f>COUNTIF(H410:I411,"a")</f>
        <v>0</v>
      </c>
      <c r="J412" s="17" t="s">
        <v>17</v>
      </c>
      <c r="K412" s="18">
        <f>COUNTIF(J410:K411,"✔")</f>
        <v>0</v>
      </c>
      <c r="L412" s="17" t="s">
        <v>18</v>
      </c>
      <c r="M412" s="18">
        <f>COUNTIF(L410:M411,"a")</f>
        <v>0</v>
      </c>
      <c r="N412" s="17" t="s">
        <v>17</v>
      </c>
      <c r="O412" s="18">
        <f>COUNTIF(N410:O411,"✔")</f>
        <v>0</v>
      </c>
      <c r="P412" s="17" t="s">
        <v>18</v>
      </c>
      <c r="Q412" s="18">
        <f>COUNTIF(P410:Q411,"a")</f>
        <v>0</v>
      </c>
      <c r="R412" s="17" t="s">
        <v>17</v>
      </c>
      <c r="S412" s="18">
        <f>COUNTIF(R410:S411,"✔")</f>
        <v>0</v>
      </c>
      <c r="T412" s="17" t="s">
        <v>18</v>
      </c>
      <c r="U412" s="18">
        <f>COUNTIF(T410:U411,"a")</f>
        <v>0</v>
      </c>
      <c r="V412" s="17" t="s">
        <v>17</v>
      </c>
      <c r="W412" s="18">
        <f>COUNTIF(V410:W411,"✔")</f>
        <v>0</v>
      </c>
      <c r="X412" s="17" t="s">
        <v>18</v>
      </c>
      <c r="Y412" s="18">
        <f>COUNTIF(X410:Y411,"a")</f>
        <v>0</v>
      </c>
      <c r="Z412" s="8"/>
      <c r="AA412" s="8"/>
    </row>
    <row r="413" spans="1:27" ht="12.75">
      <c r="A413" s="8"/>
      <c r="B413" s="47" t="s">
        <v>152</v>
      </c>
      <c r="C413" s="48"/>
      <c r="D413" s="48"/>
      <c r="E413" s="49"/>
      <c r="F413" s="43"/>
      <c r="G413" s="43"/>
      <c r="H413" s="43"/>
      <c r="I413" s="43"/>
      <c r="J413" s="43"/>
      <c r="K413" s="45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8"/>
      <c r="AA413" s="8"/>
    </row>
    <row r="414" spans="1:27" ht="12.75">
      <c r="A414" s="8"/>
      <c r="B414" s="50"/>
      <c r="C414" s="51"/>
      <c r="D414" s="51"/>
      <c r="E414" s="52"/>
      <c r="F414" s="44"/>
      <c r="G414" s="44"/>
      <c r="H414" s="44"/>
      <c r="I414" s="44"/>
      <c r="J414" s="44"/>
      <c r="K414" s="36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8"/>
      <c r="AA414" s="8"/>
    </row>
    <row r="415" spans="1:27" ht="15">
      <c r="A415" s="8"/>
      <c r="B415" s="40"/>
      <c r="C415" s="41"/>
      <c r="D415" s="41"/>
      <c r="E415" s="42"/>
      <c r="F415" s="17" t="s">
        <v>17</v>
      </c>
      <c r="G415" s="18">
        <f>COUNTIF(F413:G414,"✔")</f>
        <v>0</v>
      </c>
      <c r="H415" s="17" t="s">
        <v>18</v>
      </c>
      <c r="I415" s="18">
        <f>COUNTIF(H413:I414,"a")</f>
        <v>0</v>
      </c>
      <c r="J415" s="17" t="s">
        <v>17</v>
      </c>
      <c r="K415" s="18">
        <f>COUNTIF(J413:K414,"✔")</f>
        <v>0</v>
      </c>
      <c r="L415" s="17" t="s">
        <v>18</v>
      </c>
      <c r="M415" s="18">
        <f>COUNTIF(L413:M414,"a")</f>
        <v>0</v>
      </c>
      <c r="N415" s="17" t="s">
        <v>17</v>
      </c>
      <c r="O415" s="18">
        <f>COUNTIF(N413:O414,"✔")</f>
        <v>0</v>
      </c>
      <c r="P415" s="17" t="s">
        <v>18</v>
      </c>
      <c r="Q415" s="18">
        <f>COUNTIF(P413:Q414,"a")</f>
        <v>0</v>
      </c>
      <c r="R415" s="17" t="s">
        <v>17</v>
      </c>
      <c r="S415" s="18">
        <f>COUNTIF(R413:S414,"✔")</f>
        <v>0</v>
      </c>
      <c r="T415" s="17" t="s">
        <v>18</v>
      </c>
      <c r="U415" s="18">
        <f>COUNTIF(T413:U414,"a")</f>
        <v>0</v>
      </c>
      <c r="V415" s="17" t="s">
        <v>17</v>
      </c>
      <c r="W415" s="18">
        <f>COUNTIF(V413:W414,"✔")</f>
        <v>0</v>
      </c>
      <c r="X415" s="17" t="s">
        <v>18</v>
      </c>
      <c r="Y415" s="18">
        <f>COUNTIF(X413:Y414,"a")</f>
        <v>0</v>
      </c>
      <c r="Z415" s="8"/>
      <c r="AA415" s="8"/>
    </row>
    <row r="416" spans="1:27" ht="12.75">
      <c r="A416" s="8"/>
      <c r="B416" s="47" t="s">
        <v>153</v>
      </c>
      <c r="C416" s="48"/>
      <c r="D416" s="48"/>
      <c r="E416" s="49"/>
      <c r="F416" s="43"/>
      <c r="G416" s="43"/>
      <c r="H416" s="43"/>
      <c r="I416" s="43"/>
      <c r="J416" s="43"/>
      <c r="K416" s="45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8"/>
      <c r="AA416" s="8"/>
    </row>
    <row r="417" spans="1:27" ht="12.75">
      <c r="A417" s="8"/>
      <c r="B417" s="50"/>
      <c r="C417" s="51"/>
      <c r="D417" s="51"/>
      <c r="E417" s="52"/>
      <c r="F417" s="44"/>
      <c r="G417" s="44"/>
      <c r="H417" s="44"/>
      <c r="I417" s="44"/>
      <c r="J417" s="44"/>
      <c r="K417" s="36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8"/>
      <c r="AA417" s="8"/>
    </row>
    <row r="418" spans="1:27" ht="15">
      <c r="A418" s="8"/>
      <c r="B418" s="40"/>
      <c r="C418" s="41"/>
      <c r="D418" s="41"/>
      <c r="E418" s="42"/>
      <c r="F418" s="17" t="s">
        <v>17</v>
      </c>
      <c r="G418" s="18">
        <f>COUNTIF(F416:G417,"✔")</f>
        <v>0</v>
      </c>
      <c r="H418" s="17" t="s">
        <v>18</v>
      </c>
      <c r="I418" s="18">
        <f>COUNTIF(H416:I417,"a")</f>
        <v>0</v>
      </c>
      <c r="J418" s="17" t="s">
        <v>17</v>
      </c>
      <c r="K418" s="18">
        <f>COUNTIF(J416:K417,"✔")</f>
        <v>0</v>
      </c>
      <c r="L418" s="17" t="s">
        <v>18</v>
      </c>
      <c r="M418" s="18">
        <f>COUNTIF(L416:M417,"a")</f>
        <v>0</v>
      </c>
      <c r="N418" s="17" t="s">
        <v>17</v>
      </c>
      <c r="O418" s="18">
        <f>COUNTIF(N416:O417,"✔")</f>
        <v>0</v>
      </c>
      <c r="P418" s="17" t="s">
        <v>18</v>
      </c>
      <c r="Q418" s="18">
        <f>COUNTIF(P416:Q417,"a")</f>
        <v>0</v>
      </c>
      <c r="R418" s="17" t="s">
        <v>17</v>
      </c>
      <c r="S418" s="18">
        <f>COUNTIF(R416:S417,"✔")</f>
        <v>0</v>
      </c>
      <c r="T418" s="17" t="s">
        <v>18</v>
      </c>
      <c r="U418" s="18">
        <f>COUNTIF(T416:U417,"a")</f>
        <v>0</v>
      </c>
      <c r="V418" s="17" t="s">
        <v>17</v>
      </c>
      <c r="W418" s="18">
        <f>COUNTIF(V416:W417,"✔")</f>
        <v>0</v>
      </c>
      <c r="X418" s="17" t="s">
        <v>18</v>
      </c>
      <c r="Y418" s="18">
        <f>COUNTIF(X416:Y417,"a")</f>
        <v>0</v>
      </c>
      <c r="Z418" s="8"/>
      <c r="AA418" s="8"/>
    </row>
    <row r="419" spans="1:27" ht="12.75">
      <c r="A419" s="8"/>
      <c r="B419" s="47" t="s">
        <v>154</v>
      </c>
      <c r="C419" s="48"/>
      <c r="D419" s="48"/>
      <c r="E419" s="49"/>
      <c r="F419" s="43"/>
      <c r="G419" s="43"/>
      <c r="H419" s="43"/>
      <c r="I419" s="43"/>
      <c r="J419" s="43"/>
      <c r="K419" s="45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8"/>
      <c r="AA419" s="8"/>
    </row>
    <row r="420" spans="1:27" ht="12.75">
      <c r="A420" s="8"/>
      <c r="B420" s="50"/>
      <c r="C420" s="51"/>
      <c r="D420" s="51"/>
      <c r="E420" s="52"/>
      <c r="F420" s="44"/>
      <c r="G420" s="44"/>
      <c r="H420" s="44"/>
      <c r="I420" s="44"/>
      <c r="J420" s="44"/>
      <c r="K420" s="36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8"/>
      <c r="AA420" s="8"/>
    </row>
    <row r="421" spans="1:27" ht="15">
      <c r="A421" s="8"/>
      <c r="B421" s="40"/>
      <c r="C421" s="41"/>
      <c r="D421" s="41"/>
      <c r="E421" s="42"/>
      <c r="F421" s="17" t="s">
        <v>17</v>
      </c>
      <c r="G421" s="18">
        <f>COUNTIF(F419:G420,"✔")</f>
        <v>0</v>
      </c>
      <c r="H421" s="17" t="s">
        <v>18</v>
      </c>
      <c r="I421" s="18">
        <f>COUNTIF(H419:I420,"a")</f>
        <v>0</v>
      </c>
      <c r="J421" s="17" t="s">
        <v>17</v>
      </c>
      <c r="K421" s="18">
        <f>COUNTIF(J419:K420,"✔")</f>
        <v>0</v>
      </c>
      <c r="L421" s="17" t="s">
        <v>18</v>
      </c>
      <c r="M421" s="18">
        <f>COUNTIF(L419:M420,"a")</f>
        <v>0</v>
      </c>
      <c r="N421" s="17" t="s">
        <v>17</v>
      </c>
      <c r="O421" s="18">
        <f>COUNTIF(N419:O420,"✔")</f>
        <v>0</v>
      </c>
      <c r="P421" s="17" t="s">
        <v>18</v>
      </c>
      <c r="Q421" s="18">
        <f>COUNTIF(P419:Q420,"a")</f>
        <v>0</v>
      </c>
      <c r="R421" s="17" t="s">
        <v>17</v>
      </c>
      <c r="S421" s="18">
        <f>COUNTIF(R419:S420,"✔")</f>
        <v>0</v>
      </c>
      <c r="T421" s="17" t="s">
        <v>18</v>
      </c>
      <c r="U421" s="18">
        <f>COUNTIF(T419:U420,"a")</f>
        <v>0</v>
      </c>
      <c r="V421" s="17" t="s">
        <v>17</v>
      </c>
      <c r="W421" s="18">
        <f>COUNTIF(V419:W420,"✔")</f>
        <v>0</v>
      </c>
      <c r="X421" s="17" t="s">
        <v>18</v>
      </c>
      <c r="Y421" s="18">
        <f>COUNTIF(X419:Y420,"a")</f>
        <v>0</v>
      </c>
      <c r="Z421" s="8"/>
      <c r="AA421" s="8"/>
    </row>
    <row r="422" spans="1:27" ht="12.75">
      <c r="A422" s="8"/>
      <c r="B422" s="47" t="s">
        <v>155</v>
      </c>
      <c r="C422" s="48"/>
      <c r="D422" s="48"/>
      <c r="E422" s="49"/>
      <c r="F422" s="43"/>
      <c r="G422" s="43"/>
      <c r="H422" s="43"/>
      <c r="I422" s="43"/>
      <c r="J422" s="43"/>
      <c r="K422" s="45"/>
      <c r="L422" s="43"/>
      <c r="M422" s="43"/>
      <c r="N422" s="43"/>
      <c r="O422" s="43"/>
      <c r="P422" s="43"/>
      <c r="Q422" s="43"/>
      <c r="R422" s="43"/>
      <c r="S422" s="43"/>
      <c r="T422" s="53"/>
      <c r="U422" s="43"/>
      <c r="V422" s="43"/>
      <c r="W422" s="43"/>
      <c r="X422" s="53"/>
      <c r="Y422" s="43"/>
      <c r="Z422" s="8"/>
      <c r="AA422" s="8"/>
    </row>
    <row r="423" spans="1:27" ht="12.75">
      <c r="A423" s="8"/>
      <c r="B423" s="50"/>
      <c r="C423" s="51"/>
      <c r="D423" s="51"/>
      <c r="E423" s="52"/>
      <c r="F423" s="44"/>
      <c r="G423" s="44"/>
      <c r="H423" s="44"/>
      <c r="I423" s="44"/>
      <c r="J423" s="44"/>
      <c r="K423" s="36"/>
      <c r="L423" s="44"/>
      <c r="M423" s="44"/>
      <c r="N423" s="44"/>
      <c r="O423" s="44"/>
      <c r="P423" s="44"/>
      <c r="Q423" s="44"/>
      <c r="R423" s="44"/>
      <c r="S423" s="44"/>
      <c r="T423" s="36"/>
      <c r="U423" s="44"/>
      <c r="V423" s="44"/>
      <c r="W423" s="44"/>
      <c r="X423" s="36"/>
      <c r="Y423" s="44"/>
      <c r="Z423" s="8"/>
      <c r="AA423" s="8"/>
    </row>
    <row r="424" spans="1:27" ht="15">
      <c r="A424" s="8"/>
      <c r="B424" s="40"/>
      <c r="C424" s="41"/>
      <c r="D424" s="41"/>
      <c r="E424" s="42"/>
      <c r="F424" s="17" t="s">
        <v>17</v>
      </c>
      <c r="G424" s="18">
        <f>COUNTIF(F422:G423,"✔")</f>
        <v>0</v>
      </c>
      <c r="H424" s="17" t="s">
        <v>18</v>
      </c>
      <c r="I424" s="18">
        <f>COUNTIF(H422:I423,"a")</f>
        <v>0</v>
      </c>
      <c r="J424" s="17" t="s">
        <v>17</v>
      </c>
      <c r="K424" s="18">
        <f>COUNTIF(J422:K423,"✔")</f>
        <v>0</v>
      </c>
      <c r="L424" s="17" t="s">
        <v>18</v>
      </c>
      <c r="M424" s="18">
        <f>COUNTIF(L422:M423,"a")</f>
        <v>0</v>
      </c>
      <c r="N424" s="17" t="s">
        <v>17</v>
      </c>
      <c r="O424" s="18">
        <f>COUNTIF(N422:O423,"✔")</f>
        <v>0</v>
      </c>
      <c r="P424" s="17" t="s">
        <v>18</v>
      </c>
      <c r="Q424" s="18">
        <f>COUNTIF(P422:Q423,"a")</f>
        <v>0</v>
      </c>
      <c r="R424" s="17" t="s">
        <v>17</v>
      </c>
      <c r="S424" s="18">
        <f>COUNTIF(R422:S423,"✔")</f>
        <v>0</v>
      </c>
      <c r="T424" s="17" t="s">
        <v>18</v>
      </c>
      <c r="U424" s="18">
        <f>COUNTIF(T422:U423,"a")</f>
        <v>0</v>
      </c>
      <c r="V424" s="17" t="s">
        <v>17</v>
      </c>
      <c r="W424" s="18">
        <f>COUNTIF(V422:W423,"✔")</f>
        <v>0</v>
      </c>
      <c r="X424" s="17" t="s">
        <v>18</v>
      </c>
      <c r="Y424" s="18">
        <f>COUNTIF(X422:Y423,"a")</f>
        <v>0</v>
      </c>
      <c r="Z424" s="8"/>
      <c r="AA424" s="8"/>
    </row>
    <row r="425" spans="1:27" ht="12.75">
      <c r="A425" s="8"/>
      <c r="B425" s="47" t="s">
        <v>156</v>
      </c>
      <c r="C425" s="48"/>
      <c r="D425" s="48"/>
      <c r="E425" s="49"/>
      <c r="F425" s="43"/>
      <c r="G425" s="43"/>
      <c r="H425" s="43"/>
      <c r="I425" s="43"/>
      <c r="J425" s="43"/>
      <c r="K425" s="45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8"/>
      <c r="AA425" s="8"/>
    </row>
    <row r="426" spans="1:27" ht="12.75">
      <c r="A426" s="8"/>
      <c r="B426" s="50"/>
      <c r="C426" s="51"/>
      <c r="D426" s="51"/>
      <c r="E426" s="52"/>
      <c r="F426" s="44"/>
      <c r="G426" s="44"/>
      <c r="H426" s="44"/>
      <c r="I426" s="44"/>
      <c r="J426" s="44"/>
      <c r="K426" s="36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8"/>
      <c r="AA426" s="8"/>
    </row>
    <row r="427" spans="1:27" ht="15">
      <c r="A427" s="8"/>
      <c r="B427" s="40"/>
      <c r="C427" s="41"/>
      <c r="D427" s="41"/>
      <c r="E427" s="42"/>
      <c r="F427" s="17" t="s">
        <v>17</v>
      </c>
      <c r="G427" s="18">
        <f>COUNTIF(F425:G426,"✔")</f>
        <v>0</v>
      </c>
      <c r="H427" s="17" t="s">
        <v>18</v>
      </c>
      <c r="I427" s="18">
        <f>COUNTIF(H425:I426,"a")</f>
        <v>0</v>
      </c>
      <c r="J427" s="17" t="s">
        <v>17</v>
      </c>
      <c r="K427" s="18">
        <f>COUNTIF(J425:K426,"✔")</f>
        <v>0</v>
      </c>
      <c r="L427" s="17" t="s">
        <v>18</v>
      </c>
      <c r="M427" s="18">
        <f>COUNTIF(L425:M426,"a")</f>
        <v>0</v>
      </c>
      <c r="N427" s="17" t="s">
        <v>17</v>
      </c>
      <c r="O427" s="18">
        <f>COUNTIF(N425:O426,"✔")</f>
        <v>0</v>
      </c>
      <c r="P427" s="17" t="s">
        <v>18</v>
      </c>
      <c r="Q427" s="18">
        <f>COUNTIF(P425:Q426,"a")</f>
        <v>0</v>
      </c>
      <c r="R427" s="17" t="s">
        <v>17</v>
      </c>
      <c r="S427" s="18">
        <f>COUNTIF(R425:S426,"✔")</f>
        <v>0</v>
      </c>
      <c r="T427" s="17" t="s">
        <v>18</v>
      </c>
      <c r="U427" s="18">
        <f>COUNTIF(T425:U426,"a")</f>
        <v>0</v>
      </c>
      <c r="V427" s="17" t="s">
        <v>17</v>
      </c>
      <c r="W427" s="18">
        <f>COUNTIF(V425:W426,"✔")</f>
        <v>0</v>
      </c>
      <c r="X427" s="17" t="s">
        <v>18</v>
      </c>
      <c r="Y427" s="18">
        <f>COUNTIF(X425:Y426,"a")</f>
        <v>0</v>
      </c>
      <c r="Z427" s="8"/>
      <c r="AA427" s="8"/>
    </row>
    <row r="428" spans="1:27" ht="12.75">
      <c r="A428" s="8"/>
      <c r="B428" s="47" t="s">
        <v>157</v>
      </c>
      <c r="C428" s="48"/>
      <c r="D428" s="48"/>
      <c r="E428" s="49"/>
      <c r="F428" s="43"/>
      <c r="G428" s="43"/>
      <c r="H428" s="43"/>
      <c r="I428" s="43"/>
      <c r="J428" s="43"/>
      <c r="K428" s="45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8"/>
      <c r="AA428" s="8"/>
    </row>
    <row r="429" spans="1:27" ht="12.75">
      <c r="A429" s="8"/>
      <c r="B429" s="50"/>
      <c r="C429" s="51"/>
      <c r="D429" s="51"/>
      <c r="E429" s="52"/>
      <c r="F429" s="44"/>
      <c r="G429" s="44"/>
      <c r="H429" s="44"/>
      <c r="I429" s="44"/>
      <c r="J429" s="44"/>
      <c r="K429" s="36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8"/>
      <c r="AA429" s="8"/>
    </row>
    <row r="430" spans="1:27" ht="15">
      <c r="A430" s="8"/>
      <c r="B430" s="40"/>
      <c r="C430" s="41"/>
      <c r="D430" s="41"/>
      <c r="E430" s="42"/>
      <c r="F430" s="17" t="s">
        <v>17</v>
      </c>
      <c r="G430" s="18">
        <f>COUNTIF(F428:G429,"✔")</f>
        <v>0</v>
      </c>
      <c r="H430" s="17" t="s">
        <v>18</v>
      </c>
      <c r="I430" s="18">
        <f>COUNTIF(H428:I429,"a")</f>
        <v>0</v>
      </c>
      <c r="J430" s="17" t="s">
        <v>17</v>
      </c>
      <c r="K430" s="18">
        <f>COUNTIF(J428:K429,"✔")</f>
        <v>0</v>
      </c>
      <c r="L430" s="17" t="s">
        <v>18</v>
      </c>
      <c r="M430" s="18">
        <f>COUNTIF(L428:M429,"a")</f>
        <v>0</v>
      </c>
      <c r="N430" s="17" t="s">
        <v>17</v>
      </c>
      <c r="O430" s="18">
        <f>COUNTIF(N428:O429,"✔")</f>
        <v>0</v>
      </c>
      <c r="P430" s="17" t="s">
        <v>18</v>
      </c>
      <c r="Q430" s="18">
        <f>COUNTIF(P428:Q429,"a")</f>
        <v>0</v>
      </c>
      <c r="R430" s="17" t="s">
        <v>17</v>
      </c>
      <c r="S430" s="18">
        <f>COUNTIF(R428:S429,"✔")</f>
        <v>0</v>
      </c>
      <c r="T430" s="17" t="s">
        <v>18</v>
      </c>
      <c r="U430" s="18">
        <f>COUNTIF(T428:U429,"a")</f>
        <v>0</v>
      </c>
      <c r="V430" s="17" t="s">
        <v>17</v>
      </c>
      <c r="W430" s="18">
        <f>COUNTIF(V428:W429,"✔")</f>
        <v>0</v>
      </c>
      <c r="X430" s="17" t="s">
        <v>18</v>
      </c>
      <c r="Y430" s="18">
        <f>COUNTIF(X428:Y429,"a")</f>
        <v>0</v>
      </c>
      <c r="Z430" s="8"/>
      <c r="AA430" s="8"/>
    </row>
    <row r="431" spans="1:27" ht="12.75">
      <c r="A431" s="8"/>
      <c r="B431" s="47" t="s">
        <v>158</v>
      </c>
      <c r="C431" s="48"/>
      <c r="D431" s="48"/>
      <c r="E431" s="49"/>
      <c r="F431" s="43"/>
      <c r="G431" s="43"/>
      <c r="H431" s="43"/>
      <c r="I431" s="43"/>
      <c r="J431" s="43"/>
      <c r="K431" s="45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8"/>
      <c r="AA431" s="8"/>
    </row>
    <row r="432" spans="1:27" ht="12.75">
      <c r="A432" s="8"/>
      <c r="B432" s="50"/>
      <c r="C432" s="51"/>
      <c r="D432" s="51"/>
      <c r="E432" s="52"/>
      <c r="F432" s="44"/>
      <c r="G432" s="44"/>
      <c r="H432" s="44"/>
      <c r="I432" s="44"/>
      <c r="J432" s="44"/>
      <c r="K432" s="36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8"/>
      <c r="AA432" s="8"/>
    </row>
    <row r="433" spans="1:27" ht="15">
      <c r="A433" s="8"/>
      <c r="B433" s="40"/>
      <c r="C433" s="41"/>
      <c r="D433" s="41"/>
      <c r="E433" s="42"/>
      <c r="F433" s="17" t="s">
        <v>17</v>
      </c>
      <c r="G433" s="18">
        <f>COUNTIF(F431:G432,"✔")</f>
        <v>0</v>
      </c>
      <c r="H433" s="17" t="s">
        <v>18</v>
      </c>
      <c r="I433" s="18">
        <f>COUNTIF(H431:I432,"a")</f>
        <v>0</v>
      </c>
      <c r="J433" s="17" t="s">
        <v>17</v>
      </c>
      <c r="K433" s="18">
        <f>COUNTIF(J431:K432,"✔")</f>
        <v>0</v>
      </c>
      <c r="L433" s="17" t="s">
        <v>18</v>
      </c>
      <c r="M433" s="18">
        <f>COUNTIF(L431:M432,"a")</f>
        <v>0</v>
      </c>
      <c r="N433" s="17" t="s">
        <v>17</v>
      </c>
      <c r="O433" s="18">
        <f>COUNTIF(N431:O432,"✔")</f>
        <v>0</v>
      </c>
      <c r="P433" s="17" t="s">
        <v>18</v>
      </c>
      <c r="Q433" s="18">
        <f>COUNTIF(P431:Q432,"a")</f>
        <v>0</v>
      </c>
      <c r="R433" s="17" t="s">
        <v>17</v>
      </c>
      <c r="S433" s="18">
        <f>COUNTIF(R431:S432,"✔")</f>
        <v>0</v>
      </c>
      <c r="T433" s="17" t="s">
        <v>18</v>
      </c>
      <c r="U433" s="18">
        <f>COUNTIF(T431:U432,"a")</f>
        <v>0</v>
      </c>
      <c r="V433" s="17" t="s">
        <v>17</v>
      </c>
      <c r="W433" s="18">
        <f>COUNTIF(V431:W432,"✔")</f>
        <v>0</v>
      </c>
      <c r="X433" s="17" t="s">
        <v>18</v>
      </c>
      <c r="Y433" s="18">
        <f>COUNTIF(X431:Y432,"a")</f>
        <v>0</v>
      </c>
      <c r="Z433" s="8"/>
      <c r="AA433" s="8"/>
    </row>
    <row r="434" spans="1:27" ht="12.75">
      <c r="A434" s="8"/>
      <c r="B434" s="47" t="s">
        <v>159</v>
      </c>
      <c r="C434" s="48"/>
      <c r="D434" s="48"/>
      <c r="E434" s="49"/>
      <c r="F434" s="43"/>
      <c r="G434" s="43"/>
      <c r="H434" s="43"/>
      <c r="I434" s="43"/>
      <c r="J434" s="43"/>
      <c r="K434" s="45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8"/>
      <c r="AA434" s="8"/>
    </row>
    <row r="435" spans="1:27" ht="12.75">
      <c r="A435" s="8"/>
      <c r="B435" s="50"/>
      <c r="C435" s="51"/>
      <c r="D435" s="51"/>
      <c r="E435" s="52"/>
      <c r="F435" s="44"/>
      <c r="G435" s="44"/>
      <c r="H435" s="44"/>
      <c r="I435" s="44"/>
      <c r="J435" s="44"/>
      <c r="K435" s="36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8"/>
      <c r="AA435" s="8"/>
    </row>
    <row r="436" spans="1:27" ht="15">
      <c r="A436" s="8"/>
      <c r="B436" s="40"/>
      <c r="C436" s="41"/>
      <c r="D436" s="41"/>
      <c r="E436" s="42"/>
      <c r="F436" s="17" t="s">
        <v>17</v>
      </c>
      <c r="G436" s="18">
        <f>COUNTIF(F434:G435,"✔")</f>
        <v>0</v>
      </c>
      <c r="H436" s="17" t="s">
        <v>18</v>
      </c>
      <c r="I436" s="18">
        <f>COUNTIF(H434:I435,"a")</f>
        <v>0</v>
      </c>
      <c r="J436" s="17" t="s">
        <v>17</v>
      </c>
      <c r="K436" s="18">
        <f>COUNTIF(J434:K435,"✔")</f>
        <v>0</v>
      </c>
      <c r="L436" s="17" t="s">
        <v>18</v>
      </c>
      <c r="M436" s="18">
        <f>COUNTIF(L434:M435,"a")</f>
        <v>0</v>
      </c>
      <c r="N436" s="17" t="s">
        <v>17</v>
      </c>
      <c r="O436" s="18">
        <f>COUNTIF(N434:O435,"✔")</f>
        <v>0</v>
      </c>
      <c r="P436" s="17" t="s">
        <v>18</v>
      </c>
      <c r="Q436" s="18">
        <f>COUNTIF(P434:Q435,"a")</f>
        <v>0</v>
      </c>
      <c r="R436" s="17" t="s">
        <v>17</v>
      </c>
      <c r="S436" s="18">
        <f>COUNTIF(R434:S435,"✔")</f>
        <v>0</v>
      </c>
      <c r="T436" s="17" t="s">
        <v>18</v>
      </c>
      <c r="U436" s="18">
        <f>COUNTIF(T434:U435,"a")</f>
        <v>0</v>
      </c>
      <c r="V436" s="17" t="s">
        <v>17</v>
      </c>
      <c r="W436" s="18">
        <f>COUNTIF(V434:W435,"✔")</f>
        <v>0</v>
      </c>
      <c r="X436" s="17" t="s">
        <v>18</v>
      </c>
      <c r="Y436" s="18">
        <f>COUNTIF(X434:Y435,"a")</f>
        <v>0</v>
      </c>
      <c r="Z436" s="8"/>
      <c r="AA436" s="8"/>
    </row>
    <row r="437" spans="1:27" ht="12.75">
      <c r="A437" s="8"/>
      <c r="B437" s="47" t="s">
        <v>160</v>
      </c>
      <c r="C437" s="48"/>
      <c r="D437" s="48"/>
      <c r="E437" s="49"/>
      <c r="F437" s="43"/>
      <c r="G437" s="43"/>
      <c r="H437" s="43"/>
      <c r="I437" s="43"/>
      <c r="J437" s="43"/>
      <c r="K437" s="45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8"/>
      <c r="AA437" s="8"/>
    </row>
    <row r="438" spans="1:27" ht="12.75">
      <c r="A438" s="8"/>
      <c r="B438" s="50"/>
      <c r="C438" s="51"/>
      <c r="D438" s="51"/>
      <c r="E438" s="52"/>
      <c r="F438" s="44"/>
      <c r="G438" s="44"/>
      <c r="H438" s="44"/>
      <c r="I438" s="44"/>
      <c r="J438" s="44"/>
      <c r="K438" s="36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8"/>
      <c r="AA438" s="8"/>
    </row>
    <row r="439" spans="1:27" ht="15">
      <c r="A439" s="8"/>
      <c r="B439" s="40"/>
      <c r="C439" s="41"/>
      <c r="D439" s="41"/>
      <c r="E439" s="42"/>
      <c r="F439" s="17" t="s">
        <v>17</v>
      </c>
      <c r="G439" s="18">
        <f>COUNTIF(F437:G438,"✔")</f>
        <v>0</v>
      </c>
      <c r="H439" s="17" t="s">
        <v>18</v>
      </c>
      <c r="I439" s="18">
        <f>COUNTIF(H437:I438,"a")</f>
        <v>0</v>
      </c>
      <c r="J439" s="17" t="s">
        <v>17</v>
      </c>
      <c r="K439" s="18">
        <f>COUNTIF(J437:K438,"✔")</f>
        <v>0</v>
      </c>
      <c r="L439" s="17" t="s">
        <v>18</v>
      </c>
      <c r="M439" s="18">
        <f>COUNTIF(L437:M438,"a")</f>
        <v>0</v>
      </c>
      <c r="N439" s="17" t="s">
        <v>17</v>
      </c>
      <c r="O439" s="18">
        <f>COUNTIF(N437:O438,"✔")</f>
        <v>0</v>
      </c>
      <c r="P439" s="17" t="s">
        <v>18</v>
      </c>
      <c r="Q439" s="18">
        <f>COUNTIF(P437:Q438,"a")</f>
        <v>0</v>
      </c>
      <c r="R439" s="17" t="s">
        <v>17</v>
      </c>
      <c r="S439" s="18">
        <f>COUNTIF(R437:S438,"✔")</f>
        <v>0</v>
      </c>
      <c r="T439" s="17" t="s">
        <v>18</v>
      </c>
      <c r="U439" s="18">
        <f>COUNTIF(T437:U438,"a")</f>
        <v>0</v>
      </c>
      <c r="V439" s="17" t="s">
        <v>17</v>
      </c>
      <c r="W439" s="18">
        <f>COUNTIF(V437:W438,"✔")</f>
        <v>0</v>
      </c>
      <c r="X439" s="17" t="s">
        <v>18</v>
      </c>
      <c r="Y439" s="18">
        <f>COUNTIF(X437:Y438,"a")</f>
        <v>0</v>
      </c>
      <c r="Z439" s="8"/>
      <c r="AA439" s="8"/>
    </row>
    <row r="440" spans="1:27" ht="12.75">
      <c r="A440" s="8"/>
      <c r="B440" s="47" t="s">
        <v>161</v>
      </c>
      <c r="C440" s="48"/>
      <c r="D440" s="48"/>
      <c r="E440" s="49"/>
      <c r="F440" s="43"/>
      <c r="G440" s="43"/>
      <c r="H440" s="43"/>
      <c r="I440" s="43"/>
      <c r="J440" s="43"/>
      <c r="K440" s="45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8"/>
      <c r="AA440" s="8"/>
    </row>
    <row r="441" spans="1:27" ht="12.75">
      <c r="A441" s="8"/>
      <c r="B441" s="50"/>
      <c r="C441" s="51"/>
      <c r="D441" s="51"/>
      <c r="E441" s="52"/>
      <c r="F441" s="44"/>
      <c r="G441" s="44"/>
      <c r="H441" s="44"/>
      <c r="I441" s="44"/>
      <c r="J441" s="44"/>
      <c r="K441" s="36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8"/>
      <c r="AA441" s="8"/>
    </row>
    <row r="442" spans="1:27" ht="15">
      <c r="A442" s="8"/>
      <c r="B442" s="40"/>
      <c r="C442" s="41"/>
      <c r="D442" s="41"/>
      <c r="E442" s="42"/>
      <c r="F442" s="17" t="s">
        <v>17</v>
      </c>
      <c r="G442" s="18">
        <f>COUNTIF(F440:G441,"✔")</f>
        <v>0</v>
      </c>
      <c r="H442" s="17" t="s">
        <v>18</v>
      </c>
      <c r="I442" s="18">
        <f>COUNTIF(H440:I441,"a")</f>
        <v>0</v>
      </c>
      <c r="J442" s="17" t="s">
        <v>17</v>
      </c>
      <c r="K442" s="18">
        <f>COUNTIF(J440:K441,"✔")</f>
        <v>0</v>
      </c>
      <c r="L442" s="17" t="s">
        <v>18</v>
      </c>
      <c r="M442" s="18">
        <f>COUNTIF(L440:M441,"a")</f>
        <v>0</v>
      </c>
      <c r="N442" s="17" t="s">
        <v>17</v>
      </c>
      <c r="O442" s="18">
        <f>COUNTIF(N440:O441,"✔")</f>
        <v>0</v>
      </c>
      <c r="P442" s="17" t="s">
        <v>18</v>
      </c>
      <c r="Q442" s="18">
        <f>COUNTIF(P440:Q441,"a")</f>
        <v>0</v>
      </c>
      <c r="R442" s="17" t="s">
        <v>17</v>
      </c>
      <c r="S442" s="18">
        <f>COUNTIF(R440:S441,"✔")</f>
        <v>0</v>
      </c>
      <c r="T442" s="17" t="s">
        <v>18</v>
      </c>
      <c r="U442" s="18">
        <f>COUNTIF(T440:U441,"a")</f>
        <v>0</v>
      </c>
      <c r="V442" s="17" t="s">
        <v>17</v>
      </c>
      <c r="W442" s="18">
        <f>COUNTIF(V440:W441,"✔")</f>
        <v>0</v>
      </c>
      <c r="X442" s="17" t="s">
        <v>18</v>
      </c>
      <c r="Y442" s="18">
        <f>COUNTIF(X440:Y441,"a")</f>
        <v>0</v>
      </c>
      <c r="Z442" s="8"/>
      <c r="AA442" s="8"/>
    </row>
    <row r="443" spans="1:27" ht="12.75">
      <c r="A443" s="8"/>
      <c r="B443" s="47" t="s">
        <v>162</v>
      </c>
      <c r="C443" s="48"/>
      <c r="D443" s="48"/>
      <c r="E443" s="49"/>
      <c r="F443" s="43"/>
      <c r="G443" s="43"/>
      <c r="H443" s="43"/>
      <c r="I443" s="43"/>
      <c r="J443" s="43"/>
      <c r="K443" s="45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8"/>
      <c r="AA443" s="8"/>
    </row>
    <row r="444" spans="1:27" ht="12.75">
      <c r="A444" s="8"/>
      <c r="B444" s="50"/>
      <c r="C444" s="51"/>
      <c r="D444" s="51"/>
      <c r="E444" s="52"/>
      <c r="F444" s="44"/>
      <c r="G444" s="44"/>
      <c r="H444" s="44"/>
      <c r="I444" s="44"/>
      <c r="J444" s="44"/>
      <c r="K444" s="36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8"/>
      <c r="AA444" s="8"/>
    </row>
    <row r="445" spans="1:27" ht="15">
      <c r="A445" s="8"/>
      <c r="B445" s="40"/>
      <c r="C445" s="41"/>
      <c r="D445" s="41"/>
      <c r="E445" s="42"/>
      <c r="F445" s="17" t="s">
        <v>17</v>
      </c>
      <c r="G445" s="18">
        <f>COUNTIF(F443:G444,"✔")</f>
        <v>0</v>
      </c>
      <c r="H445" s="17" t="s">
        <v>18</v>
      </c>
      <c r="I445" s="18">
        <f>COUNTIF(H443:I444,"a")</f>
        <v>0</v>
      </c>
      <c r="J445" s="17" t="s">
        <v>17</v>
      </c>
      <c r="K445" s="18">
        <f>COUNTIF(J443:K444,"✔")</f>
        <v>0</v>
      </c>
      <c r="L445" s="17" t="s">
        <v>18</v>
      </c>
      <c r="M445" s="18">
        <f>COUNTIF(L443:M444,"a")</f>
        <v>0</v>
      </c>
      <c r="N445" s="17" t="s">
        <v>17</v>
      </c>
      <c r="O445" s="18">
        <f>COUNTIF(N443:O444,"✔")</f>
        <v>0</v>
      </c>
      <c r="P445" s="17" t="s">
        <v>18</v>
      </c>
      <c r="Q445" s="18">
        <f>COUNTIF(P443:Q444,"a")</f>
        <v>0</v>
      </c>
      <c r="R445" s="17" t="s">
        <v>17</v>
      </c>
      <c r="S445" s="18">
        <f>COUNTIF(R443:S444,"✔")</f>
        <v>0</v>
      </c>
      <c r="T445" s="17" t="s">
        <v>18</v>
      </c>
      <c r="U445" s="18">
        <f>COUNTIF(T443:U444,"a")</f>
        <v>0</v>
      </c>
      <c r="V445" s="17" t="s">
        <v>17</v>
      </c>
      <c r="W445" s="18">
        <f>COUNTIF(V443:W444,"✔")</f>
        <v>0</v>
      </c>
      <c r="X445" s="17" t="s">
        <v>18</v>
      </c>
      <c r="Y445" s="18">
        <f>COUNTIF(X443:Y444,"a")</f>
        <v>0</v>
      </c>
      <c r="Z445" s="8"/>
      <c r="AA445" s="8"/>
    </row>
    <row r="446" spans="1:27" ht="12.75">
      <c r="A446" s="8"/>
      <c r="B446" s="47" t="s">
        <v>163</v>
      </c>
      <c r="C446" s="48"/>
      <c r="D446" s="48"/>
      <c r="E446" s="49"/>
      <c r="F446" s="43"/>
      <c r="G446" s="43"/>
      <c r="H446" s="43"/>
      <c r="I446" s="43"/>
      <c r="J446" s="43"/>
      <c r="K446" s="45"/>
      <c r="L446" s="43"/>
      <c r="M446" s="43"/>
      <c r="N446" s="43"/>
      <c r="O446" s="43"/>
      <c r="P446" s="43"/>
      <c r="Q446" s="43"/>
      <c r="R446" s="43"/>
      <c r="S446" s="43"/>
      <c r="T446" s="53"/>
      <c r="U446" s="43"/>
      <c r="V446" s="43"/>
      <c r="W446" s="43"/>
      <c r="X446" s="53"/>
      <c r="Y446" s="43"/>
      <c r="Z446" s="8"/>
      <c r="AA446" s="8"/>
    </row>
    <row r="447" spans="1:27" ht="12.75">
      <c r="A447" s="8"/>
      <c r="B447" s="50"/>
      <c r="C447" s="51"/>
      <c r="D447" s="51"/>
      <c r="E447" s="52"/>
      <c r="F447" s="44"/>
      <c r="G447" s="44"/>
      <c r="H447" s="44"/>
      <c r="I447" s="44"/>
      <c r="J447" s="44"/>
      <c r="K447" s="36"/>
      <c r="L447" s="44"/>
      <c r="M447" s="44"/>
      <c r="N447" s="44"/>
      <c r="O447" s="44"/>
      <c r="P447" s="44"/>
      <c r="Q447" s="44"/>
      <c r="R447" s="44"/>
      <c r="S447" s="44"/>
      <c r="T447" s="36"/>
      <c r="U447" s="44"/>
      <c r="V447" s="44"/>
      <c r="W447" s="44"/>
      <c r="X447" s="36"/>
      <c r="Y447" s="44"/>
      <c r="Z447" s="8"/>
      <c r="AA447" s="8"/>
    </row>
    <row r="448" spans="1:27" ht="15">
      <c r="A448" s="8"/>
      <c r="B448" s="40"/>
      <c r="C448" s="41"/>
      <c r="D448" s="41"/>
      <c r="E448" s="42"/>
      <c r="F448" s="17" t="s">
        <v>17</v>
      </c>
      <c r="G448" s="18">
        <f>COUNTIF(F446:G447,"✔")</f>
        <v>0</v>
      </c>
      <c r="H448" s="17" t="s">
        <v>18</v>
      </c>
      <c r="I448" s="18">
        <f>COUNTIF(H446:I447,"a")</f>
        <v>0</v>
      </c>
      <c r="J448" s="17" t="s">
        <v>17</v>
      </c>
      <c r="K448" s="18">
        <f>COUNTIF(J446:K447,"✔")</f>
        <v>0</v>
      </c>
      <c r="L448" s="17" t="s">
        <v>18</v>
      </c>
      <c r="M448" s="18">
        <f>COUNTIF(L446:M447,"a")</f>
        <v>0</v>
      </c>
      <c r="N448" s="17" t="s">
        <v>17</v>
      </c>
      <c r="O448" s="18">
        <f>COUNTIF(N446:O447,"✔")</f>
        <v>0</v>
      </c>
      <c r="P448" s="17" t="s">
        <v>18</v>
      </c>
      <c r="Q448" s="18">
        <f>COUNTIF(P446:Q447,"a")</f>
        <v>0</v>
      </c>
      <c r="R448" s="17" t="s">
        <v>17</v>
      </c>
      <c r="S448" s="18">
        <f>COUNTIF(R446:S447,"✔")</f>
        <v>0</v>
      </c>
      <c r="T448" s="17" t="s">
        <v>18</v>
      </c>
      <c r="U448" s="18">
        <f>COUNTIF(T446:U447,"a")</f>
        <v>0</v>
      </c>
      <c r="V448" s="17" t="s">
        <v>17</v>
      </c>
      <c r="W448" s="18">
        <f>COUNTIF(V446:W447,"✔")</f>
        <v>0</v>
      </c>
      <c r="X448" s="17" t="s">
        <v>18</v>
      </c>
      <c r="Y448" s="18">
        <f>COUNTIF(X446:Y447,"a")</f>
        <v>0</v>
      </c>
      <c r="Z448" s="8"/>
      <c r="AA448" s="8"/>
    </row>
    <row r="449" spans="1:27" ht="12.75">
      <c r="A449" s="8"/>
      <c r="B449" s="47" t="s">
        <v>164</v>
      </c>
      <c r="C449" s="48"/>
      <c r="D449" s="48"/>
      <c r="E449" s="49"/>
      <c r="F449" s="43"/>
      <c r="G449" s="43"/>
      <c r="H449" s="43"/>
      <c r="I449" s="43"/>
      <c r="J449" s="43"/>
      <c r="K449" s="45"/>
      <c r="L449" s="43"/>
      <c r="M449" s="43"/>
      <c r="N449" s="43"/>
      <c r="O449" s="43"/>
      <c r="P449" s="43"/>
      <c r="Q449" s="43"/>
      <c r="R449" s="43"/>
      <c r="S449" s="43"/>
      <c r="T449" s="53"/>
      <c r="U449" s="43"/>
      <c r="V449" s="43"/>
      <c r="W449" s="43"/>
      <c r="X449" s="53"/>
      <c r="Y449" s="43"/>
      <c r="Z449" s="8"/>
      <c r="AA449" s="8"/>
    </row>
    <row r="450" spans="1:27" ht="12.75">
      <c r="A450" s="8"/>
      <c r="B450" s="50"/>
      <c r="C450" s="51"/>
      <c r="D450" s="51"/>
      <c r="E450" s="52"/>
      <c r="F450" s="44"/>
      <c r="G450" s="44"/>
      <c r="H450" s="44"/>
      <c r="I450" s="44"/>
      <c r="J450" s="44"/>
      <c r="K450" s="36"/>
      <c r="L450" s="44"/>
      <c r="M450" s="44"/>
      <c r="N450" s="44"/>
      <c r="O450" s="44"/>
      <c r="P450" s="44"/>
      <c r="Q450" s="44"/>
      <c r="R450" s="44"/>
      <c r="S450" s="44"/>
      <c r="T450" s="36"/>
      <c r="U450" s="44"/>
      <c r="V450" s="44"/>
      <c r="W450" s="44"/>
      <c r="X450" s="36"/>
      <c r="Y450" s="44"/>
      <c r="Z450" s="8"/>
      <c r="AA450" s="8"/>
    </row>
    <row r="451" spans="1:27" ht="15">
      <c r="A451" s="8"/>
      <c r="B451" s="40"/>
      <c r="C451" s="41"/>
      <c r="D451" s="41"/>
      <c r="E451" s="42"/>
      <c r="F451" s="17" t="s">
        <v>17</v>
      </c>
      <c r="G451" s="18">
        <f>COUNTIF(F449:G450,"✔")</f>
        <v>0</v>
      </c>
      <c r="H451" s="17" t="s">
        <v>18</v>
      </c>
      <c r="I451" s="18">
        <f>COUNTIF(H449:I450,"a")</f>
        <v>0</v>
      </c>
      <c r="J451" s="17" t="s">
        <v>17</v>
      </c>
      <c r="K451" s="18">
        <f>COUNTIF(J449:K450,"✔")</f>
        <v>0</v>
      </c>
      <c r="L451" s="17" t="s">
        <v>18</v>
      </c>
      <c r="M451" s="18">
        <f>COUNTIF(L449:M450,"a")</f>
        <v>0</v>
      </c>
      <c r="N451" s="17" t="s">
        <v>17</v>
      </c>
      <c r="O451" s="18">
        <f>COUNTIF(N449:O450,"✔")</f>
        <v>0</v>
      </c>
      <c r="P451" s="17" t="s">
        <v>18</v>
      </c>
      <c r="Q451" s="18">
        <f>COUNTIF(P449:Q450,"a")</f>
        <v>0</v>
      </c>
      <c r="R451" s="17" t="s">
        <v>17</v>
      </c>
      <c r="S451" s="18">
        <f>COUNTIF(R449:S450,"✔")</f>
        <v>0</v>
      </c>
      <c r="T451" s="17" t="s">
        <v>18</v>
      </c>
      <c r="U451" s="18">
        <f>COUNTIF(T449:U450,"a")</f>
        <v>0</v>
      </c>
      <c r="V451" s="17" t="s">
        <v>17</v>
      </c>
      <c r="W451" s="18">
        <f>COUNTIF(V449:W450,"✔")</f>
        <v>0</v>
      </c>
      <c r="X451" s="17" t="s">
        <v>18</v>
      </c>
      <c r="Y451" s="18">
        <f>COUNTIF(X449:Y450,"a")</f>
        <v>0</v>
      </c>
      <c r="Z451" s="8"/>
      <c r="AA451" s="8"/>
    </row>
    <row r="452" spans="1:27" ht="12.75">
      <c r="A452" s="8"/>
      <c r="B452" s="47" t="s">
        <v>165</v>
      </c>
      <c r="C452" s="48"/>
      <c r="D452" s="48"/>
      <c r="E452" s="49"/>
      <c r="F452" s="43"/>
      <c r="G452" s="43"/>
      <c r="H452" s="43"/>
      <c r="I452" s="43"/>
      <c r="J452" s="43"/>
      <c r="K452" s="45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8"/>
      <c r="AA452" s="8"/>
    </row>
    <row r="453" spans="1:27" ht="12.75">
      <c r="A453" s="8"/>
      <c r="B453" s="50"/>
      <c r="C453" s="51"/>
      <c r="D453" s="51"/>
      <c r="E453" s="52"/>
      <c r="F453" s="44"/>
      <c r="G453" s="44"/>
      <c r="H453" s="44"/>
      <c r="I453" s="44"/>
      <c r="J453" s="44"/>
      <c r="K453" s="36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8"/>
      <c r="AA453" s="8"/>
    </row>
    <row r="454" spans="1:27" ht="15">
      <c r="A454" s="8"/>
      <c r="B454" s="40"/>
      <c r="C454" s="41"/>
      <c r="D454" s="41"/>
      <c r="E454" s="42"/>
      <c r="F454" s="17" t="s">
        <v>17</v>
      </c>
      <c r="G454" s="18">
        <f>COUNTIF(F452:G453,"✔")</f>
        <v>0</v>
      </c>
      <c r="H454" s="17" t="s">
        <v>18</v>
      </c>
      <c r="I454" s="18">
        <f>COUNTIF(H452:I453,"a")</f>
        <v>0</v>
      </c>
      <c r="J454" s="17" t="s">
        <v>17</v>
      </c>
      <c r="K454" s="18">
        <f>COUNTIF(J452:K453,"✔")</f>
        <v>0</v>
      </c>
      <c r="L454" s="17" t="s">
        <v>18</v>
      </c>
      <c r="M454" s="18">
        <f>COUNTIF(L452:M453,"a")</f>
        <v>0</v>
      </c>
      <c r="N454" s="17" t="s">
        <v>17</v>
      </c>
      <c r="O454" s="18">
        <f>COUNTIF(N452:O453,"✔")</f>
        <v>0</v>
      </c>
      <c r="P454" s="17" t="s">
        <v>18</v>
      </c>
      <c r="Q454" s="18">
        <f>COUNTIF(P452:Q453,"a")</f>
        <v>0</v>
      </c>
      <c r="R454" s="17" t="s">
        <v>17</v>
      </c>
      <c r="S454" s="18">
        <f>COUNTIF(R452:S453,"✔")</f>
        <v>0</v>
      </c>
      <c r="T454" s="17" t="s">
        <v>18</v>
      </c>
      <c r="U454" s="18">
        <f>COUNTIF(T452:U453,"a")</f>
        <v>0</v>
      </c>
      <c r="V454" s="17" t="s">
        <v>17</v>
      </c>
      <c r="W454" s="18">
        <f>COUNTIF(V452:W453,"✔")</f>
        <v>0</v>
      </c>
      <c r="X454" s="17" t="s">
        <v>18</v>
      </c>
      <c r="Y454" s="18">
        <f>COUNTIF(X452:Y453,"a")</f>
        <v>0</v>
      </c>
      <c r="Z454" s="8"/>
      <c r="AA454" s="8"/>
    </row>
    <row r="455" spans="1:27" ht="12.75">
      <c r="A455" s="8"/>
      <c r="B455" s="47" t="s">
        <v>166</v>
      </c>
      <c r="C455" s="48"/>
      <c r="D455" s="48"/>
      <c r="E455" s="49"/>
      <c r="F455" s="43"/>
      <c r="G455" s="43"/>
      <c r="H455" s="43"/>
      <c r="I455" s="43"/>
      <c r="J455" s="43"/>
      <c r="K455" s="45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8"/>
      <c r="AA455" s="8"/>
    </row>
    <row r="456" spans="1:27" ht="12.75">
      <c r="A456" s="8"/>
      <c r="B456" s="50"/>
      <c r="C456" s="51"/>
      <c r="D456" s="51"/>
      <c r="E456" s="52"/>
      <c r="F456" s="44"/>
      <c r="G456" s="44"/>
      <c r="H456" s="44"/>
      <c r="I456" s="44"/>
      <c r="J456" s="44"/>
      <c r="K456" s="36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8"/>
      <c r="AA456" s="8"/>
    </row>
    <row r="457" spans="1:27" ht="15">
      <c r="A457" s="8"/>
      <c r="B457" s="40"/>
      <c r="C457" s="41"/>
      <c r="D457" s="41"/>
      <c r="E457" s="42"/>
      <c r="F457" s="17" t="s">
        <v>17</v>
      </c>
      <c r="G457" s="18">
        <f>COUNTIF(F455:G456,"✔")</f>
        <v>0</v>
      </c>
      <c r="H457" s="17" t="s">
        <v>18</v>
      </c>
      <c r="I457" s="18">
        <f>COUNTIF(H455:I456,"a")</f>
        <v>0</v>
      </c>
      <c r="J457" s="17" t="s">
        <v>17</v>
      </c>
      <c r="K457" s="18">
        <f>COUNTIF(J455:K456,"✔")</f>
        <v>0</v>
      </c>
      <c r="L457" s="17" t="s">
        <v>18</v>
      </c>
      <c r="M457" s="18">
        <f>COUNTIF(L455:M456,"a")</f>
        <v>0</v>
      </c>
      <c r="N457" s="17" t="s">
        <v>17</v>
      </c>
      <c r="O457" s="18">
        <f>COUNTIF(N455:O456,"✔")</f>
        <v>0</v>
      </c>
      <c r="P457" s="17" t="s">
        <v>18</v>
      </c>
      <c r="Q457" s="18">
        <f>COUNTIF(P455:Q456,"a")</f>
        <v>0</v>
      </c>
      <c r="R457" s="17" t="s">
        <v>17</v>
      </c>
      <c r="S457" s="18">
        <f>COUNTIF(R455:S456,"✔")</f>
        <v>0</v>
      </c>
      <c r="T457" s="17" t="s">
        <v>18</v>
      </c>
      <c r="U457" s="18">
        <f>COUNTIF(T455:U456,"a")</f>
        <v>0</v>
      </c>
      <c r="V457" s="17" t="s">
        <v>17</v>
      </c>
      <c r="W457" s="18">
        <f>COUNTIF(V455:W456,"✔")</f>
        <v>0</v>
      </c>
      <c r="X457" s="17" t="s">
        <v>18</v>
      </c>
      <c r="Y457" s="18">
        <f>COUNTIF(X455:Y456,"a")</f>
        <v>0</v>
      </c>
      <c r="Z457" s="8"/>
      <c r="AA457" s="8"/>
    </row>
    <row r="458" spans="1:27" ht="12.75">
      <c r="A458" s="8"/>
      <c r="B458" s="47" t="s">
        <v>167</v>
      </c>
      <c r="C458" s="48"/>
      <c r="D458" s="48"/>
      <c r="E458" s="49"/>
      <c r="F458" s="43"/>
      <c r="G458" s="43"/>
      <c r="H458" s="43"/>
      <c r="I458" s="43"/>
      <c r="J458" s="43"/>
      <c r="K458" s="45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8"/>
      <c r="AA458" s="8"/>
    </row>
    <row r="459" spans="1:27" ht="12.75">
      <c r="A459" s="8"/>
      <c r="B459" s="50"/>
      <c r="C459" s="51"/>
      <c r="D459" s="51"/>
      <c r="E459" s="52"/>
      <c r="F459" s="44"/>
      <c r="G459" s="44"/>
      <c r="H459" s="44"/>
      <c r="I459" s="44"/>
      <c r="J459" s="44"/>
      <c r="K459" s="36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8"/>
      <c r="AA459" s="8"/>
    </row>
    <row r="460" spans="1:27" ht="15">
      <c r="A460" s="8"/>
      <c r="B460" s="40"/>
      <c r="C460" s="41"/>
      <c r="D460" s="41"/>
      <c r="E460" s="42"/>
      <c r="F460" s="17" t="s">
        <v>17</v>
      </c>
      <c r="G460" s="18">
        <f>COUNTIF(F458:G459,"✔")</f>
        <v>0</v>
      </c>
      <c r="H460" s="17" t="s">
        <v>18</v>
      </c>
      <c r="I460" s="18">
        <f>COUNTIF(H458:I459,"a")</f>
        <v>0</v>
      </c>
      <c r="J460" s="17" t="s">
        <v>17</v>
      </c>
      <c r="K460" s="18">
        <f>COUNTIF(J458:K459,"✔")</f>
        <v>0</v>
      </c>
      <c r="L460" s="17" t="s">
        <v>18</v>
      </c>
      <c r="M460" s="18">
        <f>COUNTIF(L458:M459,"a")</f>
        <v>0</v>
      </c>
      <c r="N460" s="17" t="s">
        <v>17</v>
      </c>
      <c r="O460" s="18">
        <f>COUNTIF(N458:O459,"✔")</f>
        <v>0</v>
      </c>
      <c r="P460" s="17" t="s">
        <v>18</v>
      </c>
      <c r="Q460" s="18">
        <f>COUNTIF(P458:Q459,"a")</f>
        <v>0</v>
      </c>
      <c r="R460" s="17" t="s">
        <v>17</v>
      </c>
      <c r="S460" s="18">
        <f>COUNTIF(R458:S459,"✔")</f>
        <v>0</v>
      </c>
      <c r="T460" s="17" t="s">
        <v>18</v>
      </c>
      <c r="U460" s="18">
        <f>COUNTIF(T458:U459,"a")</f>
        <v>0</v>
      </c>
      <c r="V460" s="17" t="s">
        <v>17</v>
      </c>
      <c r="W460" s="18">
        <f>COUNTIF(V458:W459,"✔")</f>
        <v>0</v>
      </c>
      <c r="X460" s="17" t="s">
        <v>18</v>
      </c>
      <c r="Y460" s="18">
        <f>COUNTIF(X458:Y459,"a")</f>
        <v>0</v>
      </c>
      <c r="Z460" s="8"/>
      <c r="AA460" s="8"/>
    </row>
    <row r="461" spans="1:27" ht="12.75">
      <c r="A461" s="8"/>
      <c r="B461" s="47" t="s">
        <v>168</v>
      </c>
      <c r="C461" s="48"/>
      <c r="D461" s="48"/>
      <c r="E461" s="49"/>
      <c r="F461" s="43"/>
      <c r="G461" s="43"/>
      <c r="H461" s="43"/>
      <c r="I461" s="43"/>
      <c r="J461" s="43"/>
      <c r="K461" s="45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8"/>
      <c r="AA461" s="8"/>
    </row>
    <row r="462" spans="1:27" ht="12.75">
      <c r="A462" s="8"/>
      <c r="B462" s="50"/>
      <c r="C462" s="51"/>
      <c r="D462" s="51"/>
      <c r="E462" s="52"/>
      <c r="F462" s="44"/>
      <c r="G462" s="44"/>
      <c r="H462" s="44"/>
      <c r="I462" s="44"/>
      <c r="J462" s="44"/>
      <c r="K462" s="36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8"/>
      <c r="AA462" s="8"/>
    </row>
    <row r="463" spans="1:27" ht="15">
      <c r="A463" s="8"/>
      <c r="B463" s="40"/>
      <c r="C463" s="41"/>
      <c r="D463" s="41"/>
      <c r="E463" s="42"/>
      <c r="F463" s="17" t="s">
        <v>17</v>
      </c>
      <c r="G463" s="18">
        <f>COUNTIF(F461:G462,"✔")</f>
        <v>0</v>
      </c>
      <c r="H463" s="17" t="s">
        <v>18</v>
      </c>
      <c r="I463" s="18">
        <f>COUNTIF(H461:I462,"a")</f>
        <v>0</v>
      </c>
      <c r="J463" s="17" t="s">
        <v>17</v>
      </c>
      <c r="K463" s="18">
        <f>COUNTIF(J461:K462,"✔")</f>
        <v>0</v>
      </c>
      <c r="L463" s="17" t="s">
        <v>18</v>
      </c>
      <c r="M463" s="18">
        <f>COUNTIF(L461:M462,"a")</f>
        <v>0</v>
      </c>
      <c r="N463" s="17" t="s">
        <v>17</v>
      </c>
      <c r="O463" s="18">
        <f>COUNTIF(N461:O462,"✔")</f>
        <v>0</v>
      </c>
      <c r="P463" s="17" t="s">
        <v>18</v>
      </c>
      <c r="Q463" s="18">
        <f>COUNTIF(P461:Q462,"a")</f>
        <v>0</v>
      </c>
      <c r="R463" s="17" t="s">
        <v>17</v>
      </c>
      <c r="S463" s="18">
        <f>COUNTIF(R461:S462,"✔")</f>
        <v>0</v>
      </c>
      <c r="T463" s="17" t="s">
        <v>18</v>
      </c>
      <c r="U463" s="18">
        <f>COUNTIF(T461:U462,"a")</f>
        <v>0</v>
      </c>
      <c r="V463" s="17" t="s">
        <v>17</v>
      </c>
      <c r="W463" s="18">
        <f>COUNTIF(V461:W462,"✔")</f>
        <v>0</v>
      </c>
      <c r="X463" s="17" t="s">
        <v>18</v>
      </c>
      <c r="Y463" s="18">
        <f>COUNTIF(X461:Y462,"a")</f>
        <v>0</v>
      </c>
      <c r="Z463" s="8"/>
      <c r="AA463" s="8"/>
    </row>
    <row r="464" spans="1:27" ht="12.75">
      <c r="A464" s="8"/>
      <c r="B464" s="47" t="s">
        <v>169</v>
      </c>
      <c r="C464" s="48"/>
      <c r="D464" s="48"/>
      <c r="E464" s="49"/>
      <c r="F464" s="43"/>
      <c r="G464" s="43"/>
      <c r="H464" s="43"/>
      <c r="I464" s="43"/>
      <c r="J464" s="43"/>
      <c r="K464" s="45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8"/>
      <c r="AA464" s="8"/>
    </row>
    <row r="465" spans="1:27" ht="12.75">
      <c r="A465" s="8"/>
      <c r="B465" s="50"/>
      <c r="C465" s="51"/>
      <c r="D465" s="51"/>
      <c r="E465" s="52"/>
      <c r="F465" s="44"/>
      <c r="G465" s="44"/>
      <c r="H465" s="44"/>
      <c r="I465" s="44"/>
      <c r="J465" s="44"/>
      <c r="K465" s="36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8"/>
      <c r="AA465" s="8"/>
    </row>
    <row r="466" spans="1:27" ht="15">
      <c r="A466" s="8"/>
      <c r="B466" s="40"/>
      <c r="C466" s="41"/>
      <c r="D466" s="41"/>
      <c r="E466" s="42"/>
      <c r="F466" s="17" t="s">
        <v>17</v>
      </c>
      <c r="G466" s="18">
        <f>COUNTIF(F464:G465,"✔")</f>
        <v>0</v>
      </c>
      <c r="H466" s="17" t="s">
        <v>18</v>
      </c>
      <c r="I466" s="18">
        <f>COUNTIF(H464:I465,"a")</f>
        <v>0</v>
      </c>
      <c r="J466" s="17" t="s">
        <v>17</v>
      </c>
      <c r="K466" s="18">
        <f>COUNTIF(J464:K465,"✔")</f>
        <v>0</v>
      </c>
      <c r="L466" s="17" t="s">
        <v>18</v>
      </c>
      <c r="M466" s="18">
        <f>COUNTIF(L464:M465,"a")</f>
        <v>0</v>
      </c>
      <c r="N466" s="17" t="s">
        <v>17</v>
      </c>
      <c r="O466" s="18">
        <f>COUNTIF(N464:O465,"✔")</f>
        <v>0</v>
      </c>
      <c r="P466" s="17" t="s">
        <v>18</v>
      </c>
      <c r="Q466" s="18">
        <f>COUNTIF(P464:Q465,"a")</f>
        <v>0</v>
      </c>
      <c r="R466" s="17" t="s">
        <v>17</v>
      </c>
      <c r="S466" s="18">
        <f>COUNTIF(R464:S465,"✔")</f>
        <v>0</v>
      </c>
      <c r="T466" s="17" t="s">
        <v>18</v>
      </c>
      <c r="U466" s="18">
        <f>COUNTIF(T464:U465,"a")</f>
        <v>0</v>
      </c>
      <c r="V466" s="17" t="s">
        <v>17</v>
      </c>
      <c r="W466" s="18">
        <f>COUNTIF(V464:W465,"✔")</f>
        <v>0</v>
      </c>
      <c r="X466" s="17" t="s">
        <v>18</v>
      </c>
      <c r="Y466" s="18">
        <f>COUNTIF(X464:Y465,"a")</f>
        <v>0</v>
      </c>
      <c r="Z466" s="8"/>
      <c r="AA466" s="8"/>
    </row>
    <row r="467" spans="1:27" ht="12.75">
      <c r="A467" s="8"/>
      <c r="B467" s="47" t="s">
        <v>170</v>
      </c>
      <c r="C467" s="48"/>
      <c r="D467" s="48"/>
      <c r="E467" s="49"/>
      <c r="F467" s="43"/>
      <c r="G467" s="43"/>
      <c r="H467" s="43"/>
      <c r="I467" s="43"/>
      <c r="J467" s="43"/>
      <c r="K467" s="45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8"/>
      <c r="AA467" s="8"/>
    </row>
    <row r="468" spans="1:27" ht="12.75">
      <c r="A468" s="8"/>
      <c r="B468" s="50"/>
      <c r="C468" s="51"/>
      <c r="D468" s="51"/>
      <c r="E468" s="52"/>
      <c r="F468" s="44"/>
      <c r="G468" s="44"/>
      <c r="H468" s="44"/>
      <c r="I468" s="44"/>
      <c r="J468" s="44"/>
      <c r="K468" s="36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8"/>
      <c r="AA468" s="8"/>
    </row>
    <row r="469" spans="1:27" ht="15">
      <c r="A469" s="8"/>
      <c r="B469" s="40"/>
      <c r="C469" s="41"/>
      <c r="D469" s="41"/>
      <c r="E469" s="42"/>
      <c r="F469" s="17" t="s">
        <v>17</v>
      </c>
      <c r="G469" s="18">
        <f>COUNTIF(F467:G468,"✔")</f>
        <v>0</v>
      </c>
      <c r="H469" s="17" t="s">
        <v>18</v>
      </c>
      <c r="I469" s="18">
        <f>COUNTIF(H467:I468,"a")</f>
        <v>0</v>
      </c>
      <c r="J469" s="17" t="s">
        <v>17</v>
      </c>
      <c r="K469" s="18">
        <f>COUNTIF(J467:K468,"✔")</f>
        <v>0</v>
      </c>
      <c r="L469" s="17" t="s">
        <v>18</v>
      </c>
      <c r="M469" s="18">
        <f>COUNTIF(L467:M468,"a")</f>
        <v>0</v>
      </c>
      <c r="N469" s="17" t="s">
        <v>17</v>
      </c>
      <c r="O469" s="18">
        <f>COUNTIF(N467:O468,"✔")</f>
        <v>0</v>
      </c>
      <c r="P469" s="17" t="s">
        <v>18</v>
      </c>
      <c r="Q469" s="18">
        <f>COUNTIF(P467:Q468,"a")</f>
        <v>0</v>
      </c>
      <c r="R469" s="17" t="s">
        <v>17</v>
      </c>
      <c r="S469" s="18">
        <f>COUNTIF(R467:S468,"✔")</f>
        <v>0</v>
      </c>
      <c r="T469" s="17" t="s">
        <v>18</v>
      </c>
      <c r="U469" s="18">
        <f>COUNTIF(T467:U468,"a")</f>
        <v>0</v>
      </c>
      <c r="V469" s="17" t="s">
        <v>17</v>
      </c>
      <c r="W469" s="18">
        <f>COUNTIF(V467:W468,"✔")</f>
        <v>0</v>
      </c>
      <c r="X469" s="17" t="s">
        <v>18</v>
      </c>
      <c r="Y469" s="18">
        <f>COUNTIF(X467:Y468,"a")</f>
        <v>0</v>
      </c>
      <c r="Z469" s="8"/>
      <c r="AA469" s="8"/>
    </row>
    <row r="470" spans="1:27" ht="12.75">
      <c r="A470" s="8"/>
      <c r="B470" s="47" t="s">
        <v>171</v>
      </c>
      <c r="C470" s="48"/>
      <c r="D470" s="48"/>
      <c r="E470" s="49"/>
      <c r="F470" s="43"/>
      <c r="G470" s="43"/>
      <c r="H470" s="43"/>
      <c r="I470" s="43"/>
      <c r="J470" s="43"/>
      <c r="K470" s="45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8"/>
      <c r="AA470" s="8"/>
    </row>
    <row r="471" spans="1:27" ht="12.75">
      <c r="A471" s="8"/>
      <c r="B471" s="50"/>
      <c r="C471" s="51"/>
      <c r="D471" s="51"/>
      <c r="E471" s="52"/>
      <c r="F471" s="44"/>
      <c r="G471" s="44"/>
      <c r="H471" s="44"/>
      <c r="I471" s="44"/>
      <c r="J471" s="44"/>
      <c r="K471" s="36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8"/>
      <c r="AA471" s="8"/>
    </row>
    <row r="472" spans="1:27" ht="15">
      <c r="A472" s="8"/>
      <c r="B472" s="40"/>
      <c r="C472" s="41"/>
      <c r="D472" s="41"/>
      <c r="E472" s="42"/>
      <c r="F472" s="17" t="s">
        <v>17</v>
      </c>
      <c r="G472" s="18">
        <f>COUNTIF(F470:G471,"✔")</f>
        <v>0</v>
      </c>
      <c r="H472" s="17" t="s">
        <v>18</v>
      </c>
      <c r="I472" s="18">
        <f>COUNTIF(H470:I471,"a")</f>
        <v>0</v>
      </c>
      <c r="J472" s="17" t="s">
        <v>17</v>
      </c>
      <c r="K472" s="18">
        <f>COUNTIF(J470:K471,"✔")</f>
        <v>0</v>
      </c>
      <c r="L472" s="17" t="s">
        <v>18</v>
      </c>
      <c r="M472" s="18">
        <f>COUNTIF(L470:M471,"a")</f>
        <v>0</v>
      </c>
      <c r="N472" s="17" t="s">
        <v>17</v>
      </c>
      <c r="O472" s="18">
        <f>COUNTIF(N470:O471,"✔")</f>
        <v>0</v>
      </c>
      <c r="P472" s="17" t="s">
        <v>18</v>
      </c>
      <c r="Q472" s="18">
        <f>COUNTIF(P470:Q471,"a")</f>
        <v>0</v>
      </c>
      <c r="R472" s="17" t="s">
        <v>17</v>
      </c>
      <c r="S472" s="18">
        <f>COUNTIF(R470:S471,"✔")</f>
        <v>0</v>
      </c>
      <c r="T472" s="17" t="s">
        <v>18</v>
      </c>
      <c r="U472" s="18">
        <f>COUNTIF(T470:U471,"a")</f>
        <v>0</v>
      </c>
      <c r="V472" s="17" t="s">
        <v>17</v>
      </c>
      <c r="W472" s="18">
        <f>COUNTIF(V470:W471,"✔")</f>
        <v>0</v>
      </c>
      <c r="X472" s="17" t="s">
        <v>18</v>
      </c>
      <c r="Y472" s="18">
        <f>COUNTIF(X470:Y471,"a")</f>
        <v>0</v>
      </c>
      <c r="Z472" s="8"/>
      <c r="AA472" s="8"/>
    </row>
    <row r="473" spans="1:27" ht="12.75">
      <c r="A473" s="8"/>
      <c r="B473" s="47" t="s">
        <v>172</v>
      </c>
      <c r="C473" s="48"/>
      <c r="D473" s="48"/>
      <c r="E473" s="49"/>
      <c r="F473" s="43"/>
      <c r="G473" s="43"/>
      <c r="H473" s="43"/>
      <c r="I473" s="43"/>
      <c r="J473" s="43"/>
      <c r="K473" s="45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8"/>
      <c r="AA473" s="8"/>
    </row>
    <row r="474" spans="1:27" ht="12.75">
      <c r="A474" s="8"/>
      <c r="B474" s="50"/>
      <c r="C474" s="51"/>
      <c r="D474" s="51"/>
      <c r="E474" s="52"/>
      <c r="F474" s="44"/>
      <c r="G474" s="44"/>
      <c r="H474" s="44"/>
      <c r="I474" s="44"/>
      <c r="J474" s="44"/>
      <c r="K474" s="36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8"/>
      <c r="AA474" s="8"/>
    </row>
    <row r="475" spans="1:27" ht="15">
      <c r="A475" s="8"/>
      <c r="B475" s="40"/>
      <c r="C475" s="41"/>
      <c r="D475" s="41"/>
      <c r="E475" s="42"/>
      <c r="F475" s="17" t="s">
        <v>17</v>
      </c>
      <c r="G475" s="18">
        <f>COUNTIF(F473:G474,"✔")</f>
        <v>0</v>
      </c>
      <c r="H475" s="17" t="s">
        <v>18</v>
      </c>
      <c r="I475" s="18">
        <f>COUNTIF(H473:I474,"a")</f>
        <v>0</v>
      </c>
      <c r="J475" s="17" t="s">
        <v>17</v>
      </c>
      <c r="K475" s="18">
        <f>COUNTIF(J473:K474,"✔")</f>
        <v>0</v>
      </c>
      <c r="L475" s="17" t="s">
        <v>18</v>
      </c>
      <c r="M475" s="18">
        <f>COUNTIF(L473:M474,"a")</f>
        <v>0</v>
      </c>
      <c r="N475" s="17" t="s">
        <v>17</v>
      </c>
      <c r="O475" s="18">
        <f>COUNTIF(N473:O474,"✔")</f>
        <v>0</v>
      </c>
      <c r="P475" s="17" t="s">
        <v>18</v>
      </c>
      <c r="Q475" s="18">
        <f>COUNTIF(P473:Q474,"a")</f>
        <v>0</v>
      </c>
      <c r="R475" s="17" t="s">
        <v>17</v>
      </c>
      <c r="S475" s="18">
        <f>COUNTIF(R473:S474,"✔")</f>
        <v>0</v>
      </c>
      <c r="T475" s="17" t="s">
        <v>18</v>
      </c>
      <c r="U475" s="18">
        <f>COUNTIF(T473:U474,"a")</f>
        <v>0</v>
      </c>
      <c r="V475" s="17" t="s">
        <v>17</v>
      </c>
      <c r="W475" s="18">
        <f>COUNTIF(V473:W474,"✔")</f>
        <v>0</v>
      </c>
      <c r="X475" s="17" t="s">
        <v>18</v>
      </c>
      <c r="Y475" s="18">
        <f>COUNTIF(X473:Y474,"a")</f>
        <v>0</v>
      </c>
      <c r="Z475" s="8"/>
      <c r="AA475" s="8"/>
    </row>
    <row r="476" spans="1:27" ht="12.75">
      <c r="A476" s="8"/>
      <c r="B476" s="47" t="s">
        <v>173</v>
      </c>
      <c r="C476" s="48"/>
      <c r="D476" s="48"/>
      <c r="E476" s="49"/>
      <c r="F476" s="43"/>
      <c r="G476" s="43"/>
      <c r="H476" s="43"/>
      <c r="I476" s="43"/>
      <c r="J476" s="43"/>
      <c r="K476" s="45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8"/>
      <c r="AA476" s="8"/>
    </row>
    <row r="477" spans="1:27" ht="12.75">
      <c r="A477" s="8"/>
      <c r="B477" s="50"/>
      <c r="C477" s="51"/>
      <c r="D477" s="51"/>
      <c r="E477" s="52"/>
      <c r="F477" s="44"/>
      <c r="G477" s="44"/>
      <c r="H477" s="44"/>
      <c r="I477" s="44"/>
      <c r="J477" s="44"/>
      <c r="K477" s="36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8"/>
      <c r="AA477" s="8"/>
    </row>
    <row r="478" spans="1:27" ht="15">
      <c r="A478" s="8"/>
      <c r="B478" s="40"/>
      <c r="C478" s="41"/>
      <c r="D478" s="41"/>
      <c r="E478" s="42"/>
      <c r="F478" s="17" t="s">
        <v>17</v>
      </c>
      <c r="G478" s="18">
        <f>COUNTIF(F476:G477,"✔")</f>
        <v>0</v>
      </c>
      <c r="H478" s="17" t="s">
        <v>18</v>
      </c>
      <c r="I478" s="18">
        <f>COUNTIF(H476:I477,"a")</f>
        <v>0</v>
      </c>
      <c r="J478" s="17" t="s">
        <v>17</v>
      </c>
      <c r="K478" s="18">
        <f>COUNTIF(J476:K477,"✔")</f>
        <v>0</v>
      </c>
      <c r="L478" s="17" t="s">
        <v>18</v>
      </c>
      <c r="M478" s="18">
        <f>COUNTIF(L476:M477,"a")</f>
        <v>0</v>
      </c>
      <c r="N478" s="17" t="s">
        <v>17</v>
      </c>
      <c r="O478" s="18">
        <f>COUNTIF(N476:O477,"✔")</f>
        <v>0</v>
      </c>
      <c r="P478" s="17" t="s">
        <v>18</v>
      </c>
      <c r="Q478" s="18">
        <f>COUNTIF(P476:Q477,"a")</f>
        <v>0</v>
      </c>
      <c r="R478" s="17" t="s">
        <v>17</v>
      </c>
      <c r="S478" s="18">
        <f>COUNTIF(R476:S477,"✔")</f>
        <v>0</v>
      </c>
      <c r="T478" s="17" t="s">
        <v>18</v>
      </c>
      <c r="U478" s="18">
        <f>COUNTIF(T476:U477,"a")</f>
        <v>0</v>
      </c>
      <c r="V478" s="17" t="s">
        <v>17</v>
      </c>
      <c r="W478" s="18">
        <f>COUNTIF(V476:W477,"✔")</f>
        <v>0</v>
      </c>
      <c r="X478" s="17" t="s">
        <v>18</v>
      </c>
      <c r="Y478" s="18">
        <f>COUNTIF(X476:Y477,"a")</f>
        <v>0</v>
      </c>
      <c r="Z478" s="8"/>
      <c r="AA478" s="8"/>
    </row>
    <row r="479" spans="1:27" ht="12.75">
      <c r="A479" s="8"/>
      <c r="B479" s="47" t="s">
        <v>174</v>
      </c>
      <c r="C479" s="48"/>
      <c r="D479" s="48"/>
      <c r="E479" s="49"/>
      <c r="F479" s="43"/>
      <c r="G479" s="43"/>
      <c r="H479" s="43"/>
      <c r="I479" s="43"/>
      <c r="J479" s="43"/>
      <c r="K479" s="45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8"/>
      <c r="AA479" s="8"/>
    </row>
    <row r="480" spans="1:27" ht="12.75">
      <c r="A480" s="8"/>
      <c r="B480" s="50"/>
      <c r="C480" s="51"/>
      <c r="D480" s="51"/>
      <c r="E480" s="52"/>
      <c r="F480" s="44"/>
      <c r="G480" s="44"/>
      <c r="H480" s="44"/>
      <c r="I480" s="44"/>
      <c r="J480" s="44"/>
      <c r="K480" s="36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8"/>
      <c r="AA480" s="8"/>
    </row>
    <row r="481" spans="1:27" ht="15">
      <c r="A481" s="8"/>
      <c r="B481" s="40"/>
      <c r="C481" s="41"/>
      <c r="D481" s="41"/>
      <c r="E481" s="42"/>
      <c r="F481" s="17" t="s">
        <v>17</v>
      </c>
      <c r="G481" s="18">
        <f>COUNTIF(F479:G480,"✔")</f>
        <v>0</v>
      </c>
      <c r="H481" s="17" t="s">
        <v>18</v>
      </c>
      <c r="I481" s="18">
        <f>COUNTIF(H479:I480,"a")</f>
        <v>0</v>
      </c>
      <c r="J481" s="17" t="s">
        <v>17</v>
      </c>
      <c r="K481" s="18">
        <f>COUNTIF(J479:K480,"✔")</f>
        <v>0</v>
      </c>
      <c r="L481" s="17" t="s">
        <v>18</v>
      </c>
      <c r="M481" s="18">
        <f>COUNTIF(L479:M480,"a")</f>
        <v>0</v>
      </c>
      <c r="N481" s="17" t="s">
        <v>17</v>
      </c>
      <c r="O481" s="18">
        <f>COUNTIF(N479:O480,"✔")</f>
        <v>0</v>
      </c>
      <c r="P481" s="17" t="s">
        <v>18</v>
      </c>
      <c r="Q481" s="18">
        <f>COUNTIF(P479:Q480,"a")</f>
        <v>0</v>
      </c>
      <c r="R481" s="17" t="s">
        <v>17</v>
      </c>
      <c r="S481" s="18">
        <f>COUNTIF(R479:S480,"✔")</f>
        <v>0</v>
      </c>
      <c r="T481" s="17" t="s">
        <v>18</v>
      </c>
      <c r="U481" s="18">
        <f>COUNTIF(T479:U480,"a")</f>
        <v>0</v>
      </c>
      <c r="V481" s="17" t="s">
        <v>17</v>
      </c>
      <c r="W481" s="18">
        <f>COUNTIF(V479:W480,"✔")</f>
        <v>0</v>
      </c>
      <c r="X481" s="17" t="s">
        <v>18</v>
      </c>
      <c r="Y481" s="18">
        <f>COUNTIF(X479:Y480,"a")</f>
        <v>0</v>
      </c>
      <c r="Z481" s="8"/>
      <c r="AA481" s="8"/>
    </row>
    <row r="482" spans="1:27" ht="12.75">
      <c r="A482" s="8"/>
      <c r="B482" s="47" t="s">
        <v>175</v>
      </c>
      <c r="C482" s="48"/>
      <c r="D482" s="48"/>
      <c r="E482" s="49"/>
      <c r="F482" s="43"/>
      <c r="G482" s="43"/>
      <c r="H482" s="43"/>
      <c r="I482" s="43"/>
      <c r="J482" s="43"/>
      <c r="K482" s="45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8"/>
      <c r="AA482" s="8"/>
    </row>
    <row r="483" spans="1:27" ht="12.75">
      <c r="A483" s="8"/>
      <c r="B483" s="50"/>
      <c r="C483" s="51"/>
      <c r="D483" s="51"/>
      <c r="E483" s="52"/>
      <c r="F483" s="44"/>
      <c r="G483" s="44"/>
      <c r="H483" s="44"/>
      <c r="I483" s="44"/>
      <c r="J483" s="44"/>
      <c r="K483" s="36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8"/>
      <c r="AA483" s="8"/>
    </row>
    <row r="484" spans="1:27" ht="15">
      <c r="A484" s="8"/>
      <c r="B484" s="40"/>
      <c r="C484" s="41"/>
      <c r="D484" s="41"/>
      <c r="E484" s="42"/>
      <c r="F484" s="17" t="s">
        <v>17</v>
      </c>
      <c r="G484" s="18">
        <f>COUNTIF(F482:G483,"✔")</f>
        <v>0</v>
      </c>
      <c r="H484" s="17" t="s">
        <v>18</v>
      </c>
      <c r="I484" s="18">
        <f>COUNTIF(H482:I483,"a")</f>
        <v>0</v>
      </c>
      <c r="J484" s="17" t="s">
        <v>17</v>
      </c>
      <c r="K484" s="18">
        <f>COUNTIF(J482:K483,"✔")</f>
        <v>0</v>
      </c>
      <c r="L484" s="17" t="s">
        <v>18</v>
      </c>
      <c r="M484" s="18">
        <f>COUNTIF(L482:M483,"a")</f>
        <v>0</v>
      </c>
      <c r="N484" s="17" t="s">
        <v>17</v>
      </c>
      <c r="O484" s="18">
        <f>COUNTIF(N482:O483,"✔")</f>
        <v>0</v>
      </c>
      <c r="P484" s="17" t="s">
        <v>18</v>
      </c>
      <c r="Q484" s="18">
        <f>COUNTIF(P482:Q483,"a")</f>
        <v>0</v>
      </c>
      <c r="R484" s="17" t="s">
        <v>17</v>
      </c>
      <c r="S484" s="18">
        <f>COUNTIF(R482:S483,"✔")</f>
        <v>0</v>
      </c>
      <c r="T484" s="17" t="s">
        <v>18</v>
      </c>
      <c r="U484" s="18">
        <f>COUNTIF(T482:U483,"a")</f>
        <v>0</v>
      </c>
      <c r="V484" s="17" t="s">
        <v>17</v>
      </c>
      <c r="W484" s="18">
        <f>COUNTIF(V482:W483,"✔")</f>
        <v>0</v>
      </c>
      <c r="X484" s="17" t="s">
        <v>18</v>
      </c>
      <c r="Y484" s="18">
        <f>COUNTIF(X482:Y483,"a")</f>
        <v>0</v>
      </c>
      <c r="Z484" s="8"/>
      <c r="AA484" s="8"/>
    </row>
    <row r="485" spans="1:27" ht="12.75">
      <c r="A485" s="8"/>
      <c r="B485" s="47" t="s">
        <v>176</v>
      </c>
      <c r="C485" s="48"/>
      <c r="D485" s="48"/>
      <c r="E485" s="49"/>
      <c r="F485" s="43"/>
      <c r="G485" s="43"/>
      <c r="H485" s="43"/>
      <c r="I485" s="43"/>
      <c r="J485" s="43"/>
      <c r="K485" s="45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8"/>
      <c r="AA485" s="8"/>
    </row>
    <row r="486" spans="1:27" ht="12.75">
      <c r="A486" s="8"/>
      <c r="B486" s="50"/>
      <c r="C486" s="51"/>
      <c r="D486" s="51"/>
      <c r="E486" s="52"/>
      <c r="F486" s="44"/>
      <c r="G486" s="44"/>
      <c r="H486" s="44"/>
      <c r="I486" s="44"/>
      <c r="J486" s="44"/>
      <c r="K486" s="36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8"/>
      <c r="AA486" s="8"/>
    </row>
    <row r="487" spans="1:27" ht="15">
      <c r="A487" s="8"/>
      <c r="B487" s="40"/>
      <c r="C487" s="41"/>
      <c r="D487" s="41"/>
      <c r="E487" s="42"/>
      <c r="F487" s="17" t="s">
        <v>17</v>
      </c>
      <c r="G487" s="18">
        <f>COUNTIF(F485:G486,"✔")</f>
        <v>0</v>
      </c>
      <c r="H487" s="17" t="s">
        <v>18</v>
      </c>
      <c r="I487" s="18">
        <f>COUNTIF(H485:I486,"a")</f>
        <v>0</v>
      </c>
      <c r="J487" s="17" t="s">
        <v>17</v>
      </c>
      <c r="K487" s="18">
        <f>COUNTIF(J485:K486,"✔")</f>
        <v>0</v>
      </c>
      <c r="L487" s="17" t="s">
        <v>18</v>
      </c>
      <c r="M487" s="18">
        <f>COUNTIF(L485:M486,"a")</f>
        <v>0</v>
      </c>
      <c r="N487" s="17" t="s">
        <v>17</v>
      </c>
      <c r="O487" s="18">
        <f>COUNTIF(N485:O486,"✔")</f>
        <v>0</v>
      </c>
      <c r="P487" s="17" t="s">
        <v>18</v>
      </c>
      <c r="Q487" s="18">
        <f>COUNTIF(P485:Q486,"a")</f>
        <v>0</v>
      </c>
      <c r="R487" s="17" t="s">
        <v>17</v>
      </c>
      <c r="S487" s="18">
        <f>COUNTIF(R485:S486,"✔")</f>
        <v>0</v>
      </c>
      <c r="T487" s="17" t="s">
        <v>18</v>
      </c>
      <c r="U487" s="18">
        <f>COUNTIF(T485:U486,"a")</f>
        <v>0</v>
      </c>
      <c r="V487" s="17" t="s">
        <v>17</v>
      </c>
      <c r="W487" s="18">
        <f>COUNTIF(V485:W486,"✔")</f>
        <v>0</v>
      </c>
      <c r="X487" s="17" t="s">
        <v>18</v>
      </c>
      <c r="Y487" s="18">
        <f>COUNTIF(X485:Y486,"a")</f>
        <v>0</v>
      </c>
      <c r="Z487" s="8"/>
      <c r="AA487" s="8"/>
    </row>
    <row r="488" spans="1:27" ht="22.5">
      <c r="A488" s="8"/>
      <c r="B488" s="47" t="s">
        <v>177</v>
      </c>
      <c r="C488" s="48"/>
      <c r="D488" s="48"/>
      <c r="E488" s="49"/>
      <c r="F488" s="43"/>
      <c r="G488" s="43"/>
      <c r="H488" s="43"/>
      <c r="I488" s="43"/>
      <c r="J488" s="43"/>
      <c r="K488" s="45"/>
      <c r="L488" s="43"/>
      <c r="M488" s="43"/>
      <c r="N488" s="43"/>
      <c r="O488" s="43"/>
      <c r="P488" s="13"/>
      <c r="Q488" s="43"/>
      <c r="R488" s="43"/>
      <c r="S488" s="43"/>
      <c r="T488" s="43"/>
      <c r="U488" s="43"/>
      <c r="V488" s="43"/>
      <c r="W488" s="43"/>
      <c r="X488" s="43"/>
      <c r="Y488" s="43"/>
      <c r="Z488" s="8"/>
      <c r="AA488" s="8"/>
    </row>
    <row r="489" spans="1:27" ht="15">
      <c r="A489" s="8"/>
      <c r="B489" s="50"/>
      <c r="C489" s="51"/>
      <c r="D489" s="51"/>
      <c r="E489" s="52"/>
      <c r="F489" s="44"/>
      <c r="G489" s="44"/>
      <c r="H489" s="44"/>
      <c r="I489" s="44"/>
      <c r="J489" s="44"/>
      <c r="K489" s="36"/>
      <c r="L489" s="44"/>
      <c r="M489" s="44"/>
      <c r="N489" s="44"/>
      <c r="O489" s="44"/>
      <c r="P489" s="19"/>
      <c r="Q489" s="44"/>
      <c r="R489" s="44"/>
      <c r="S489" s="44"/>
      <c r="T489" s="44"/>
      <c r="U489" s="44"/>
      <c r="V489" s="44"/>
      <c r="W489" s="44"/>
      <c r="X489" s="44"/>
      <c r="Y489" s="44"/>
      <c r="Z489" s="8"/>
      <c r="AA489" s="8"/>
    </row>
    <row r="490" spans="1:27" ht="15">
      <c r="A490" s="8"/>
      <c r="B490" s="40"/>
      <c r="C490" s="41"/>
      <c r="D490" s="41"/>
      <c r="E490" s="42"/>
      <c r="F490" s="17" t="s">
        <v>17</v>
      </c>
      <c r="G490" s="18">
        <f>COUNTIF(F488:G489,"✔")</f>
        <v>0</v>
      </c>
      <c r="H490" s="17" t="s">
        <v>18</v>
      </c>
      <c r="I490" s="18">
        <f>COUNTIF(H488:I489,"a")</f>
        <v>0</v>
      </c>
      <c r="J490" s="17" t="s">
        <v>17</v>
      </c>
      <c r="K490" s="18">
        <f>COUNTIF(J488:K489,"✔")</f>
        <v>0</v>
      </c>
      <c r="L490" s="17" t="s">
        <v>18</v>
      </c>
      <c r="M490" s="18">
        <f>COUNTIF(L488:M489,"a")</f>
        <v>0</v>
      </c>
      <c r="N490" s="17" t="s">
        <v>17</v>
      </c>
      <c r="O490" s="18">
        <f>COUNTIF(N488:O489,"✔")</f>
        <v>0</v>
      </c>
      <c r="P490" s="17" t="s">
        <v>18</v>
      </c>
      <c r="Q490" s="18">
        <f>COUNTIF(P488:Q489,"a")</f>
        <v>0</v>
      </c>
      <c r="R490" s="17" t="s">
        <v>17</v>
      </c>
      <c r="S490" s="18">
        <f>COUNTIF(R488:S489,"✔")</f>
        <v>0</v>
      </c>
      <c r="T490" s="17" t="s">
        <v>18</v>
      </c>
      <c r="U490" s="18">
        <f>COUNTIF(T488:U489,"a")</f>
        <v>0</v>
      </c>
      <c r="V490" s="17" t="s">
        <v>17</v>
      </c>
      <c r="W490" s="18">
        <f>COUNTIF(V488:W489,"✔")</f>
        <v>0</v>
      </c>
      <c r="X490" s="17" t="s">
        <v>18</v>
      </c>
      <c r="Y490" s="18">
        <f>COUNTIF(X488:Y489,"a")</f>
        <v>0</v>
      </c>
      <c r="Z490" s="8"/>
      <c r="AA490" s="8"/>
    </row>
    <row r="491" spans="1:27" ht="12.75">
      <c r="A491" s="8"/>
      <c r="B491" s="47" t="s">
        <v>178</v>
      </c>
      <c r="C491" s="48"/>
      <c r="D491" s="48"/>
      <c r="E491" s="49"/>
      <c r="F491" s="43"/>
      <c r="G491" s="43"/>
      <c r="H491" s="43"/>
      <c r="I491" s="43"/>
      <c r="J491" s="43"/>
      <c r="K491" s="45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8"/>
      <c r="AA491" s="8"/>
    </row>
    <row r="492" spans="1:27" ht="12.75">
      <c r="A492" s="8"/>
      <c r="B492" s="50"/>
      <c r="C492" s="51"/>
      <c r="D492" s="51"/>
      <c r="E492" s="52"/>
      <c r="F492" s="44"/>
      <c r="G492" s="44"/>
      <c r="H492" s="44"/>
      <c r="I492" s="44"/>
      <c r="J492" s="44"/>
      <c r="K492" s="36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8"/>
      <c r="AA492" s="8"/>
    </row>
    <row r="493" spans="1:27" ht="15">
      <c r="A493" s="8"/>
      <c r="B493" s="40"/>
      <c r="C493" s="41"/>
      <c r="D493" s="41"/>
      <c r="E493" s="42"/>
      <c r="F493" s="17" t="s">
        <v>17</v>
      </c>
      <c r="G493" s="18">
        <f>COUNTIF(F491:G492,"✔")</f>
        <v>0</v>
      </c>
      <c r="H493" s="17" t="s">
        <v>18</v>
      </c>
      <c r="I493" s="18">
        <f>COUNTIF(H491:I492,"a")</f>
        <v>0</v>
      </c>
      <c r="J493" s="17" t="s">
        <v>17</v>
      </c>
      <c r="K493" s="18">
        <f>COUNTIF(J491:K492,"✔")</f>
        <v>0</v>
      </c>
      <c r="L493" s="17" t="s">
        <v>18</v>
      </c>
      <c r="M493" s="18">
        <f>COUNTIF(L491:M492,"a")</f>
        <v>0</v>
      </c>
      <c r="N493" s="17" t="s">
        <v>17</v>
      </c>
      <c r="O493" s="18">
        <f>COUNTIF(N491:O492,"✔")</f>
        <v>0</v>
      </c>
      <c r="P493" s="17" t="s">
        <v>18</v>
      </c>
      <c r="Q493" s="18">
        <f>COUNTIF(P491:Q492,"a")</f>
        <v>0</v>
      </c>
      <c r="R493" s="17" t="s">
        <v>17</v>
      </c>
      <c r="S493" s="18">
        <f>COUNTIF(R491:S492,"✔")</f>
        <v>0</v>
      </c>
      <c r="T493" s="17" t="s">
        <v>18</v>
      </c>
      <c r="U493" s="18">
        <f>COUNTIF(T491:U492,"a")</f>
        <v>0</v>
      </c>
      <c r="V493" s="17" t="s">
        <v>17</v>
      </c>
      <c r="W493" s="18">
        <f>COUNTIF(V491:W492,"✔")</f>
        <v>0</v>
      </c>
      <c r="X493" s="17" t="s">
        <v>18</v>
      </c>
      <c r="Y493" s="18">
        <f>COUNTIF(X491:Y492,"a")</f>
        <v>0</v>
      </c>
      <c r="Z493" s="8"/>
      <c r="AA493" s="8"/>
    </row>
    <row r="494" spans="1:27" ht="12.75">
      <c r="A494" s="8"/>
      <c r="B494" s="47" t="s">
        <v>179</v>
      </c>
      <c r="C494" s="48"/>
      <c r="D494" s="48"/>
      <c r="E494" s="49"/>
      <c r="F494" s="43"/>
      <c r="G494" s="43"/>
      <c r="H494" s="43"/>
      <c r="I494" s="43"/>
      <c r="J494" s="43"/>
      <c r="K494" s="45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8"/>
      <c r="AA494" s="8"/>
    </row>
    <row r="495" spans="1:27" ht="12.75">
      <c r="A495" s="8"/>
      <c r="B495" s="50"/>
      <c r="C495" s="51"/>
      <c r="D495" s="51"/>
      <c r="E495" s="52"/>
      <c r="F495" s="44"/>
      <c r="G495" s="44"/>
      <c r="H495" s="44"/>
      <c r="I495" s="44"/>
      <c r="J495" s="44"/>
      <c r="K495" s="36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8"/>
      <c r="AA495" s="8"/>
    </row>
    <row r="496" spans="1:27" ht="15">
      <c r="A496" s="8"/>
      <c r="B496" s="40"/>
      <c r="C496" s="41"/>
      <c r="D496" s="41"/>
      <c r="E496" s="42"/>
      <c r="F496" s="17" t="s">
        <v>17</v>
      </c>
      <c r="G496" s="18">
        <f>COUNTIF(F494:G495,"✔")</f>
        <v>0</v>
      </c>
      <c r="H496" s="17" t="s">
        <v>18</v>
      </c>
      <c r="I496" s="18">
        <f>COUNTIF(H494:I495,"a")</f>
        <v>0</v>
      </c>
      <c r="J496" s="17" t="s">
        <v>17</v>
      </c>
      <c r="K496" s="18">
        <f>COUNTIF(J494:K495,"✔")</f>
        <v>0</v>
      </c>
      <c r="L496" s="17" t="s">
        <v>18</v>
      </c>
      <c r="M496" s="18">
        <f>COUNTIF(L494:M495,"a")</f>
        <v>0</v>
      </c>
      <c r="N496" s="17" t="s">
        <v>17</v>
      </c>
      <c r="O496" s="18">
        <f>COUNTIF(N494:O495,"✔")</f>
        <v>0</v>
      </c>
      <c r="P496" s="17" t="s">
        <v>18</v>
      </c>
      <c r="Q496" s="18">
        <f>COUNTIF(P494:Q495,"a")</f>
        <v>0</v>
      </c>
      <c r="R496" s="17" t="s">
        <v>17</v>
      </c>
      <c r="S496" s="18">
        <f>COUNTIF(R494:S495,"✔")</f>
        <v>0</v>
      </c>
      <c r="T496" s="17" t="s">
        <v>18</v>
      </c>
      <c r="U496" s="18">
        <f>COUNTIF(T494:U495,"a")</f>
        <v>0</v>
      </c>
      <c r="V496" s="17" t="s">
        <v>17</v>
      </c>
      <c r="W496" s="18">
        <f>COUNTIF(V494:W495,"✔")</f>
        <v>0</v>
      </c>
      <c r="X496" s="17" t="s">
        <v>18</v>
      </c>
      <c r="Y496" s="18">
        <f>COUNTIF(X494:Y495,"a")</f>
        <v>0</v>
      </c>
      <c r="Z496" s="8"/>
      <c r="AA496" s="8"/>
    </row>
    <row r="497" spans="1:27" ht="12.75">
      <c r="A497" s="8"/>
      <c r="B497" s="58" t="s">
        <v>180</v>
      </c>
      <c r="C497" s="48"/>
      <c r="D497" s="48"/>
      <c r="E497" s="49"/>
      <c r="F497" s="43"/>
      <c r="G497" s="43"/>
      <c r="H497" s="43"/>
      <c r="I497" s="43"/>
      <c r="J497" s="43"/>
      <c r="K497" s="45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8"/>
      <c r="AA497" s="8"/>
    </row>
    <row r="498" spans="1:27" ht="12.75">
      <c r="A498" s="8"/>
      <c r="B498" s="50"/>
      <c r="C498" s="51"/>
      <c r="D498" s="51"/>
      <c r="E498" s="52"/>
      <c r="F498" s="44"/>
      <c r="G498" s="44"/>
      <c r="H498" s="44"/>
      <c r="I498" s="44"/>
      <c r="J498" s="44"/>
      <c r="K498" s="36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8"/>
      <c r="AA498" s="8"/>
    </row>
    <row r="499" spans="1:27" ht="15">
      <c r="A499" s="8"/>
      <c r="B499" s="40"/>
      <c r="C499" s="41"/>
      <c r="D499" s="41"/>
      <c r="E499" s="42"/>
      <c r="F499" s="17" t="s">
        <v>17</v>
      </c>
      <c r="G499" s="18">
        <f>COUNTIF(F497:G498,"✔")</f>
        <v>0</v>
      </c>
      <c r="H499" s="17" t="s">
        <v>18</v>
      </c>
      <c r="I499" s="18">
        <f>COUNTIF(H497:I498,"a")</f>
        <v>0</v>
      </c>
      <c r="J499" s="17" t="s">
        <v>17</v>
      </c>
      <c r="K499" s="18">
        <f>COUNTIF(J497:K498,"✔")</f>
        <v>0</v>
      </c>
      <c r="L499" s="17" t="s">
        <v>18</v>
      </c>
      <c r="M499" s="18">
        <f>COUNTIF(L497:M498,"a")</f>
        <v>0</v>
      </c>
      <c r="N499" s="17" t="s">
        <v>17</v>
      </c>
      <c r="O499" s="18">
        <f>COUNTIF(N497:O498,"✔")</f>
        <v>0</v>
      </c>
      <c r="P499" s="17" t="s">
        <v>18</v>
      </c>
      <c r="Q499" s="18">
        <f>COUNTIF(P497:Q498,"a")</f>
        <v>0</v>
      </c>
      <c r="R499" s="17" t="s">
        <v>17</v>
      </c>
      <c r="S499" s="18">
        <f>COUNTIF(R497:S498,"✔")</f>
        <v>0</v>
      </c>
      <c r="T499" s="17" t="s">
        <v>18</v>
      </c>
      <c r="U499" s="18">
        <f>COUNTIF(T497:U498,"a")</f>
        <v>0</v>
      </c>
      <c r="V499" s="17" t="s">
        <v>17</v>
      </c>
      <c r="W499" s="18">
        <f>COUNTIF(V497:W498,"✔")</f>
        <v>0</v>
      </c>
      <c r="X499" s="17" t="s">
        <v>18</v>
      </c>
      <c r="Y499" s="18">
        <f>COUNTIF(X497:Y498,"a")</f>
        <v>0</v>
      </c>
      <c r="Z499" s="8"/>
      <c r="AA499" s="8"/>
    </row>
    <row r="500" spans="1:27" ht="12.75">
      <c r="A500" s="8"/>
      <c r="B500" s="47" t="s">
        <v>181</v>
      </c>
      <c r="C500" s="48"/>
      <c r="D500" s="48"/>
      <c r="E500" s="49"/>
      <c r="F500" s="43"/>
      <c r="G500" s="43"/>
      <c r="H500" s="43"/>
      <c r="I500" s="43"/>
      <c r="J500" s="43"/>
      <c r="K500" s="45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8"/>
      <c r="AA500" s="8"/>
    </row>
    <row r="501" spans="1:27" ht="12.75">
      <c r="A501" s="8"/>
      <c r="B501" s="50"/>
      <c r="C501" s="51"/>
      <c r="D501" s="51"/>
      <c r="E501" s="52"/>
      <c r="F501" s="44"/>
      <c r="G501" s="44"/>
      <c r="H501" s="44"/>
      <c r="I501" s="44"/>
      <c r="J501" s="44"/>
      <c r="K501" s="36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8"/>
      <c r="AA501" s="8"/>
    </row>
    <row r="502" spans="1:27" ht="15">
      <c r="A502" s="8"/>
      <c r="B502" s="40"/>
      <c r="C502" s="41"/>
      <c r="D502" s="41"/>
      <c r="E502" s="42"/>
      <c r="F502" s="17" t="s">
        <v>17</v>
      </c>
      <c r="G502" s="18">
        <f>COUNTIF(F500:G501,"✔")</f>
        <v>0</v>
      </c>
      <c r="H502" s="17" t="s">
        <v>18</v>
      </c>
      <c r="I502" s="18">
        <f>COUNTIF(H500:I501,"a")</f>
        <v>0</v>
      </c>
      <c r="J502" s="17" t="s">
        <v>17</v>
      </c>
      <c r="K502" s="18">
        <f>COUNTIF(J500:K501,"✔")</f>
        <v>0</v>
      </c>
      <c r="L502" s="17" t="s">
        <v>18</v>
      </c>
      <c r="M502" s="18">
        <f>COUNTIF(L500:M501,"a")</f>
        <v>0</v>
      </c>
      <c r="N502" s="17" t="s">
        <v>17</v>
      </c>
      <c r="O502" s="18">
        <f>COUNTIF(N500:O501,"✔")</f>
        <v>0</v>
      </c>
      <c r="P502" s="17" t="s">
        <v>18</v>
      </c>
      <c r="Q502" s="18">
        <f>COUNTIF(P500:Q501,"a")</f>
        <v>0</v>
      </c>
      <c r="R502" s="17" t="s">
        <v>17</v>
      </c>
      <c r="S502" s="18">
        <f>COUNTIF(R500:S501,"✔")</f>
        <v>0</v>
      </c>
      <c r="T502" s="17" t="s">
        <v>18</v>
      </c>
      <c r="U502" s="18">
        <f>COUNTIF(T500:U501,"a")</f>
        <v>0</v>
      </c>
      <c r="V502" s="17" t="s">
        <v>17</v>
      </c>
      <c r="W502" s="18">
        <f>COUNTIF(V500:W501,"✔")</f>
        <v>0</v>
      </c>
      <c r="X502" s="17" t="s">
        <v>18</v>
      </c>
      <c r="Y502" s="18">
        <f>COUNTIF(X500:Y501,"a")</f>
        <v>0</v>
      </c>
      <c r="Z502" s="8"/>
      <c r="AA502" s="8"/>
    </row>
    <row r="503" spans="1:27" ht="12.75">
      <c r="A503" s="8"/>
      <c r="B503" s="47" t="s">
        <v>182</v>
      </c>
      <c r="C503" s="48"/>
      <c r="D503" s="48"/>
      <c r="E503" s="49"/>
      <c r="F503" s="43"/>
      <c r="G503" s="43"/>
      <c r="H503" s="43"/>
      <c r="I503" s="43"/>
      <c r="J503" s="43"/>
      <c r="K503" s="45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8"/>
      <c r="AA503" s="8"/>
    </row>
    <row r="504" spans="1:27" ht="12.75">
      <c r="A504" s="8"/>
      <c r="B504" s="50"/>
      <c r="C504" s="51"/>
      <c r="D504" s="51"/>
      <c r="E504" s="52"/>
      <c r="F504" s="44"/>
      <c r="G504" s="44"/>
      <c r="H504" s="44"/>
      <c r="I504" s="44"/>
      <c r="J504" s="44"/>
      <c r="K504" s="36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8"/>
      <c r="AA504" s="8"/>
    </row>
    <row r="505" spans="1:27" ht="15">
      <c r="A505" s="8"/>
      <c r="B505" s="40"/>
      <c r="C505" s="41"/>
      <c r="D505" s="41"/>
      <c r="E505" s="42"/>
      <c r="F505" s="17" t="s">
        <v>17</v>
      </c>
      <c r="G505" s="18">
        <f>COUNTIF(F503:G504,"✔")</f>
        <v>0</v>
      </c>
      <c r="H505" s="17" t="s">
        <v>18</v>
      </c>
      <c r="I505" s="18">
        <f>COUNTIF(H503:I504,"a")</f>
        <v>0</v>
      </c>
      <c r="J505" s="17" t="s">
        <v>17</v>
      </c>
      <c r="K505" s="18">
        <f>COUNTIF(J503:K504,"✔")</f>
        <v>0</v>
      </c>
      <c r="L505" s="17" t="s">
        <v>18</v>
      </c>
      <c r="M505" s="18">
        <f>COUNTIF(L503:M504,"a")</f>
        <v>0</v>
      </c>
      <c r="N505" s="17" t="s">
        <v>17</v>
      </c>
      <c r="O505" s="18">
        <f>COUNTIF(N503:O504,"✔")</f>
        <v>0</v>
      </c>
      <c r="P505" s="17" t="s">
        <v>18</v>
      </c>
      <c r="Q505" s="18">
        <f>COUNTIF(P503:Q504,"a")</f>
        <v>0</v>
      </c>
      <c r="R505" s="17" t="s">
        <v>17</v>
      </c>
      <c r="S505" s="18">
        <f>COUNTIF(R503:S504,"✔")</f>
        <v>0</v>
      </c>
      <c r="T505" s="17" t="s">
        <v>18</v>
      </c>
      <c r="U505" s="18">
        <f>COUNTIF(T503:U504,"a")</f>
        <v>0</v>
      </c>
      <c r="V505" s="17" t="s">
        <v>17</v>
      </c>
      <c r="W505" s="18">
        <f>COUNTIF(V503:W504,"✔")</f>
        <v>0</v>
      </c>
      <c r="X505" s="17" t="s">
        <v>18</v>
      </c>
      <c r="Y505" s="18">
        <f>COUNTIF(X503:Y504,"a")</f>
        <v>0</v>
      </c>
      <c r="Z505" s="8"/>
      <c r="AA505" s="8"/>
    </row>
    <row r="506" spans="1:27" ht="12.75">
      <c r="A506" s="8"/>
      <c r="B506" s="47" t="s">
        <v>183</v>
      </c>
      <c r="C506" s="48"/>
      <c r="D506" s="48"/>
      <c r="E506" s="49"/>
      <c r="F506" s="43"/>
      <c r="G506" s="43"/>
      <c r="H506" s="43"/>
      <c r="I506" s="43"/>
      <c r="J506" s="43"/>
      <c r="K506" s="45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8"/>
      <c r="AA506" s="8"/>
    </row>
    <row r="507" spans="1:27" ht="12.75">
      <c r="A507" s="8"/>
      <c r="B507" s="50"/>
      <c r="C507" s="51"/>
      <c r="D507" s="51"/>
      <c r="E507" s="52"/>
      <c r="F507" s="44"/>
      <c r="G507" s="44"/>
      <c r="H507" s="44"/>
      <c r="I507" s="44"/>
      <c r="J507" s="44"/>
      <c r="K507" s="36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8"/>
      <c r="AA507" s="8"/>
    </row>
    <row r="508" spans="1:27" ht="15">
      <c r="A508" s="8"/>
      <c r="B508" s="40"/>
      <c r="C508" s="41"/>
      <c r="D508" s="41"/>
      <c r="E508" s="42"/>
      <c r="F508" s="17" t="s">
        <v>17</v>
      </c>
      <c r="G508" s="18">
        <f>COUNTIF(F506:G507,"✔")</f>
        <v>0</v>
      </c>
      <c r="H508" s="17" t="s">
        <v>18</v>
      </c>
      <c r="I508" s="18">
        <f>COUNTIF(H506:I507,"a")</f>
        <v>0</v>
      </c>
      <c r="J508" s="17" t="s">
        <v>17</v>
      </c>
      <c r="K508" s="18">
        <f>COUNTIF(J506:K507,"✔")</f>
        <v>0</v>
      </c>
      <c r="L508" s="17" t="s">
        <v>18</v>
      </c>
      <c r="M508" s="18">
        <f>COUNTIF(L506:M507,"a")</f>
        <v>0</v>
      </c>
      <c r="N508" s="17" t="s">
        <v>17</v>
      </c>
      <c r="O508" s="18">
        <f>COUNTIF(N506:O507,"✔")</f>
        <v>0</v>
      </c>
      <c r="P508" s="17" t="s">
        <v>18</v>
      </c>
      <c r="Q508" s="18">
        <f>COUNTIF(P506:Q507,"a")</f>
        <v>0</v>
      </c>
      <c r="R508" s="17" t="s">
        <v>17</v>
      </c>
      <c r="S508" s="18">
        <f>COUNTIF(R506:S507,"✔")</f>
        <v>0</v>
      </c>
      <c r="T508" s="17" t="s">
        <v>18</v>
      </c>
      <c r="U508" s="18">
        <f>COUNTIF(T506:U507,"a")</f>
        <v>0</v>
      </c>
      <c r="V508" s="17" t="s">
        <v>17</v>
      </c>
      <c r="W508" s="18">
        <f>COUNTIF(V506:W507,"✔")</f>
        <v>0</v>
      </c>
      <c r="X508" s="17" t="s">
        <v>18</v>
      </c>
      <c r="Y508" s="18">
        <f>COUNTIF(X506:Y507,"a")</f>
        <v>0</v>
      </c>
      <c r="Z508" s="8"/>
      <c r="AA508" s="8"/>
    </row>
    <row r="509" spans="1:27" ht="12.75">
      <c r="A509" s="8"/>
      <c r="B509" s="47" t="s">
        <v>184</v>
      </c>
      <c r="C509" s="48"/>
      <c r="D509" s="48"/>
      <c r="E509" s="49"/>
      <c r="F509" s="43"/>
      <c r="G509" s="43"/>
      <c r="H509" s="43"/>
      <c r="I509" s="43"/>
      <c r="J509" s="43"/>
      <c r="K509" s="45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8"/>
      <c r="AA509" s="8"/>
    </row>
    <row r="510" spans="1:27" ht="12.75">
      <c r="A510" s="8"/>
      <c r="B510" s="50"/>
      <c r="C510" s="51"/>
      <c r="D510" s="51"/>
      <c r="E510" s="52"/>
      <c r="F510" s="44"/>
      <c r="G510" s="44"/>
      <c r="H510" s="44"/>
      <c r="I510" s="44"/>
      <c r="J510" s="44"/>
      <c r="K510" s="36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8"/>
      <c r="AA510" s="8"/>
    </row>
    <row r="511" spans="1:27" ht="15">
      <c r="A511" s="8"/>
      <c r="B511" s="40"/>
      <c r="C511" s="41"/>
      <c r="D511" s="41"/>
      <c r="E511" s="42"/>
      <c r="F511" s="17" t="s">
        <v>17</v>
      </c>
      <c r="G511" s="18">
        <f>COUNTIF(F509:G510,"✔")</f>
        <v>0</v>
      </c>
      <c r="H511" s="17" t="s">
        <v>18</v>
      </c>
      <c r="I511" s="18">
        <f>COUNTIF(H509:I510,"a")</f>
        <v>0</v>
      </c>
      <c r="J511" s="17" t="s">
        <v>17</v>
      </c>
      <c r="K511" s="18">
        <f>COUNTIF(J509:K510,"✔")</f>
        <v>0</v>
      </c>
      <c r="L511" s="17" t="s">
        <v>18</v>
      </c>
      <c r="M511" s="18">
        <f>COUNTIF(L509:M510,"a")</f>
        <v>0</v>
      </c>
      <c r="N511" s="17" t="s">
        <v>17</v>
      </c>
      <c r="O511" s="18">
        <f>COUNTIF(N509:O510,"✔")</f>
        <v>0</v>
      </c>
      <c r="P511" s="17" t="s">
        <v>18</v>
      </c>
      <c r="Q511" s="18">
        <f>COUNTIF(P509:Q510,"a")</f>
        <v>0</v>
      </c>
      <c r="R511" s="17" t="s">
        <v>17</v>
      </c>
      <c r="S511" s="18">
        <f>COUNTIF(R509:S510,"✔")</f>
        <v>0</v>
      </c>
      <c r="T511" s="17" t="s">
        <v>18</v>
      </c>
      <c r="U511" s="18">
        <f>COUNTIF(T509:U510,"a")</f>
        <v>0</v>
      </c>
      <c r="V511" s="17" t="s">
        <v>17</v>
      </c>
      <c r="W511" s="18">
        <f>COUNTIF(V509:W510,"✔")</f>
        <v>0</v>
      </c>
      <c r="X511" s="17" t="s">
        <v>18</v>
      </c>
      <c r="Y511" s="18">
        <f>COUNTIF(X509:Y510,"a")</f>
        <v>0</v>
      </c>
      <c r="Z511" s="8"/>
      <c r="AA511" s="8"/>
    </row>
    <row r="512" spans="1:27" ht="12.75">
      <c r="A512" s="8"/>
      <c r="B512" s="47" t="s">
        <v>185</v>
      </c>
      <c r="C512" s="48"/>
      <c r="D512" s="48"/>
      <c r="E512" s="49"/>
      <c r="F512" s="43"/>
      <c r="G512" s="43"/>
      <c r="H512" s="43"/>
      <c r="I512" s="43"/>
      <c r="J512" s="43"/>
      <c r="K512" s="45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8"/>
      <c r="AA512" s="8"/>
    </row>
    <row r="513" spans="1:27" ht="12.75">
      <c r="A513" s="8"/>
      <c r="B513" s="50"/>
      <c r="C513" s="51"/>
      <c r="D513" s="51"/>
      <c r="E513" s="52"/>
      <c r="F513" s="44"/>
      <c r="G513" s="44"/>
      <c r="H513" s="44"/>
      <c r="I513" s="44"/>
      <c r="J513" s="44"/>
      <c r="K513" s="36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8"/>
      <c r="AA513" s="8"/>
    </row>
    <row r="514" spans="1:27" ht="15">
      <c r="A514" s="8"/>
      <c r="B514" s="40"/>
      <c r="C514" s="41"/>
      <c r="D514" s="41"/>
      <c r="E514" s="42"/>
      <c r="F514" s="17" t="s">
        <v>17</v>
      </c>
      <c r="G514" s="18">
        <f>COUNTIF(F512:G513,"✔")</f>
        <v>0</v>
      </c>
      <c r="H514" s="17" t="s">
        <v>18</v>
      </c>
      <c r="I514" s="18">
        <f>COUNTIF(H512:I513,"a")</f>
        <v>0</v>
      </c>
      <c r="J514" s="17" t="s">
        <v>17</v>
      </c>
      <c r="K514" s="18">
        <f>COUNTIF(J512:K513,"✔")</f>
        <v>0</v>
      </c>
      <c r="L514" s="17" t="s">
        <v>18</v>
      </c>
      <c r="M514" s="18">
        <f>COUNTIF(L512:M513,"a")</f>
        <v>0</v>
      </c>
      <c r="N514" s="17" t="s">
        <v>17</v>
      </c>
      <c r="O514" s="18">
        <f>COUNTIF(N512:O513,"✔")</f>
        <v>0</v>
      </c>
      <c r="P514" s="17" t="s">
        <v>18</v>
      </c>
      <c r="Q514" s="18">
        <f>COUNTIF(P512:Q513,"a")</f>
        <v>0</v>
      </c>
      <c r="R514" s="17" t="s">
        <v>17</v>
      </c>
      <c r="S514" s="18">
        <f>COUNTIF(R512:S513,"✔")</f>
        <v>0</v>
      </c>
      <c r="T514" s="17" t="s">
        <v>18</v>
      </c>
      <c r="U514" s="18">
        <f>COUNTIF(T512:U513,"a")</f>
        <v>0</v>
      </c>
      <c r="V514" s="17" t="s">
        <v>17</v>
      </c>
      <c r="W514" s="18">
        <f>COUNTIF(V512:W513,"✔")</f>
        <v>0</v>
      </c>
      <c r="X514" s="17" t="s">
        <v>18</v>
      </c>
      <c r="Y514" s="18">
        <f>COUNTIF(X512:Y513,"a")</f>
        <v>0</v>
      </c>
      <c r="Z514" s="8"/>
      <c r="AA514" s="8"/>
    </row>
    <row r="515" spans="1:27" ht="12.75">
      <c r="A515" s="8"/>
      <c r="B515" s="47" t="s">
        <v>186</v>
      </c>
      <c r="C515" s="48"/>
      <c r="D515" s="48"/>
      <c r="E515" s="49"/>
      <c r="F515" s="43"/>
      <c r="G515" s="43"/>
      <c r="H515" s="43"/>
      <c r="I515" s="43"/>
      <c r="J515" s="43"/>
      <c r="K515" s="45"/>
      <c r="L515" s="43"/>
      <c r="M515" s="43"/>
      <c r="N515" s="43"/>
      <c r="O515" s="43"/>
      <c r="P515" s="53"/>
      <c r="Q515" s="43"/>
      <c r="R515" s="43"/>
      <c r="S515" s="43"/>
      <c r="T515" s="53"/>
      <c r="U515" s="43"/>
      <c r="V515" s="43"/>
      <c r="W515" s="43"/>
      <c r="X515" s="53"/>
      <c r="Y515" s="43"/>
      <c r="Z515" s="8"/>
      <c r="AA515" s="8"/>
    </row>
    <row r="516" spans="1:27" ht="12.75">
      <c r="A516" s="8"/>
      <c r="B516" s="50"/>
      <c r="C516" s="51"/>
      <c r="D516" s="51"/>
      <c r="E516" s="52"/>
      <c r="F516" s="44"/>
      <c r="G516" s="44"/>
      <c r="H516" s="44"/>
      <c r="I516" s="44"/>
      <c r="J516" s="44"/>
      <c r="K516" s="36"/>
      <c r="L516" s="44"/>
      <c r="M516" s="44"/>
      <c r="N516" s="44"/>
      <c r="O516" s="44"/>
      <c r="P516" s="36"/>
      <c r="Q516" s="44"/>
      <c r="R516" s="44"/>
      <c r="S516" s="44"/>
      <c r="T516" s="36"/>
      <c r="U516" s="44"/>
      <c r="V516" s="44"/>
      <c r="W516" s="44"/>
      <c r="X516" s="36"/>
      <c r="Y516" s="44"/>
      <c r="Z516" s="8"/>
      <c r="AA516" s="8"/>
    </row>
    <row r="517" spans="1:27" ht="15">
      <c r="A517" s="8"/>
      <c r="B517" s="40"/>
      <c r="C517" s="41"/>
      <c r="D517" s="41"/>
      <c r="E517" s="42"/>
      <c r="F517" s="17" t="s">
        <v>17</v>
      </c>
      <c r="G517" s="18">
        <f>COUNTIF(F515:G516,"✔")</f>
        <v>0</v>
      </c>
      <c r="H517" s="17" t="s">
        <v>18</v>
      </c>
      <c r="I517" s="18">
        <f>COUNTIF(H515:I516,"a")</f>
        <v>0</v>
      </c>
      <c r="J517" s="17" t="s">
        <v>17</v>
      </c>
      <c r="K517" s="18">
        <f>COUNTIF(J515:K516,"✔")</f>
        <v>0</v>
      </c>
      <c r="L517" s="17" t="s">
        <v>18</v>
      </c>
      <c r="M517" s="18">
        <f>COUNTIF(L515:M516,"a")</f>
        <v>0</v>
      </c>
      <c r="N517" s="17" t="s">
        <v>17</v>
      </c>
      <c r="O517" s="18">
        <f>COUNTIF(N515:O516,"✔")</f>
        <v>0</v>
      </c>
      <c r="P517" s="17" t="s">
        <v>18</v>
      </c>
      <c r="Q517" s="18">
        <f>COUNTIF(P515:Q516,"a")</f>
        <v>0</v>
      </c>
      <c r="R517" s="17" t="s">
        <v>17</v>
      </c>
      <c r="S517" s="18">
        <f>COUNTIF(R515:S516,"✔")</f>
        <v>0</v>
      </c>
      <c r="T517" s="17" t="s">
        <v>18</v>
      </c>
      <c r="U517" s="18">
        <f>COUNTIF(T515:U516,"a")</f>
        <v>0</v>
      </c>
      <c r="V517" s="17" t="s">
        <v>17</v>
      </c>
      <c r="W517" s="18">
        <f>COUNTIF(V515:W516,"✔")</f>
        <v>0</v>
      </c>
      <c r="X517" s="17" t="s">
        <v>18</v>
      </c>
      <c r="Y517" s="18">
        <f>COUNTIF(X515:Y516,"a")</f>
        <v>0</v>
      </c>
      <c r="Z517" s="8"/>
      <c r="AA517" s="8"/>
    </row>
    <row r="518" spans="1:27" ht="12.75">
      <c r="A518" s="8"/>
      <c r="B518" s="47" t="s">
        <v>187</v>
      </c>
      <c r="C518" s="48"/>
      <c r="D518" s="48"/>
      <c r="E518" s="49"/>
      <c r="F518" s="43"/>
      <c r="G518" s="43"/>
      <c r="H518" s="43"/>
      <c r="I518" s="43"/>
      <c r="J518" s="43"/>
      <c r="K518" s="45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8"/>
      <c r="AA518" s="8"/>
    </row>
    <row r="519" spans="1:27" ht="12.75">
      <c r="A519" s="8"/>
      <c r="B519" s="50"/>
      <c r="C519" s="51"/>
      <c r="D519" s="51"/>
      <c r="E519" s="52"/>
      <c r="F519" s="44"/>
      <c r="G519" s="44"/>
      <c r="H519" s="44"/>
      <c r="I519" s="44"/>
      <c r="J519" s="44"/>
      <c r="K519" s="36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8"/>
      <c r="AA519" s="8"/>
    </row>
    <row r="520" spans="1:27" ht="15">
      <c r="A520" s="8"/>
      <c r="B520" s="40"/>
      <c r="C520" s="41"/>
      <c r="D520" s="41"/>
      <c r="E520" s="42"/>
      <c r="F520" s="17" t="s">
        <v>17</v>
      </c>
      <c r="G520" s="18">
        <f>COUNTIF(F518:G519,"✔")</f>
        <v>0</v>
      </c>
      <c r="H520" s="17" t="s">
        <v>18</v>
      </c>
      <c r="I520" s="18">
        <f>COUNTIF(H518:I519,"a")</f>
        <v>0</v>
      </c>
      <c r="J520" s="17" t="s">
        <v>17</v>
      </c>
      <c r="K520" s="18">
        <f>COUNTIF(J518:K519,"✔")</f>
        <v>0</v>
      </c>
      <c r="L520" s="17" t="s">
        <v>18</v>
      </c>
      <c r="M520" s="18">
        <f>COUNTIF(L518:M519,"a")</f>
        <v>0</v>
      </c>
      <c r="N520" s="17" t="s">
        <v>17</v>
      </c>
      <c r="O520" s="18">
        <f>COUNTIF(N518:O519,"✔")</f>
        <v>0</v>
      </c>
      <c r="P520" s="17" t="s">
        <v>18</v>
      </c>
      <c r="Q520" s="18">
        <f>COUNTIF(P518:Q519,"a")</f>
        <v>0</v>
      </c>
      <c r="R520" s="17" t="s">
        <v>17</v>
      </c>
      <c r="S520" s="18">
        <f>COUNTIF(R518:S519,"✔")</f>
        <v>0</v>
      </c>
      <c r="T520" s="17" t="s">
        <v>18</v>
      </c>
      <c r="U520" s="18">
        <f>COUNTIF(T518:U519,"a")</f>
        <v>0</v>
      </c>
      <c r="V520" s="17" t="s">
        <v>17</v>
      </c>
      <c r="W520" s="18">
        <f>COUNTIF(V518:W519,"✔")</f>
        <v>0</v>
      </c>
      <c r="X520" s="17" t="s">
        <v>18</v>
      </c>
      <c r="Y520" s="18">
        <f>COUNTIF(X518:Y519,"a")</f>
        <v>0</v>
      </c>
      <c r="Z520" s="8"/>
      <c r="AA520" s="8"/>
    </row>
    <row r="521" spans="1:27" ht="12.75">
      <c r="A521" s="8"/>
      <c r="B521" s="47" t="s">
        <v>188</v>
      </c>
      <c r="C521" s="48"/>
      <c r="D521" s="48"/>
      <c r="E521" s="49"/>
      <c r="F521" s="43"/>
      <c r="G521" s="43"/>
      <c r="H521" s="43"/>
      <c r="I521" s="43"/>
      <c r="J521" s="43"/>
      <c r="K521" s="45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8"/>
      <c r="AA521" s="8"/>
    </row>
    <row r="522" spans="1:27" ht="12.75">
      <c r="A522" s="8"/>
      <c r="B522" s="50"/>
      <c r="C522" s="51"/>
      <c r="D522" s="51"/>
      <c r="E522" s="52"/>
      <c r="F522" s="44"/>
      <c r="G522" s="44"/>
      <c r="H522" s="44"/>
      <c r="I522" s="44"/>
      <c r="J522" s="44"/>
      <c r="K522" s="36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8"/>
      <c r="AA522" s="8"/>
    </row>
    <row r="523" spans="1:27" ht="15">
      <c r="A523" s="8"/>
      <c r="B523" s="40"/>
      <c r="C523" s="41"/>
      <c r="D523" s="41"/>
      <c r="E523" s="42"/>
      <c r="F523" s="17" t="s">
        <v>17</v>
      </c>
      <c r="G523" s="18">
        <f>COUNTIF(F521:G522,"✔")</f>
        <v>0</v>
      </c>
      <c r="H523" s="17" t="s">
        <v>18</v>
      </c>
      <c r="I523" s="18">
        <f>COUNTIF(H521:I522,"a")</f>
        <v>0</v>
      </c>
      <c r="J523" s="17" t="s">
        <v>17</v>
      </c>
      <c r="K523" s="18">
        <f>COUNTIF(J521:K522,"✔")</f>
        <v>0</v>
      </c>
      <c r="L523" s="17" t="s">
        <v>18</v>
      </c>
      <c r="M523" s="18">
        <f>COUNTIF(L521:M522,"a")</f>
        <v>0</v>
      </c>
      <c r="N523" s="17" t="s">
        <v>17</v>
      </c>
      <c r="O523" s="18">
        <f>COUNTIF(N521:O522,"✔")</f>
        <v>0</v>
      </c>
      <c r="P523" s="17" t="s">
        <v>18</v>
      </c>
      <c r="Q523" s="18">
        <f>COUNTIF(P521:Q522,"a")</f>
        <v>0</v>
      </c>
      <c r="R523" s="17" t="s">
        <v>17</v>
      </c>
      <c r="S523" s="18">
        <f>COUNTIF(R521:S522,"✔")</f>
        <v>0</v>
      </c>
      <c r="T523" s="17" t="s">
        <v>18</v>
      </c>
      <c r="U523" s="18">
        <f>COUNTIF(T521:U522,"a")</f>
        <v>0</v>
      </c>
      <c r="V523" s="17" t="s">
        <v>17</v>
      </c>
      <c r="W523" s="18">
        <f>COUNTIF(V521:W522,"✔")</f>
        <v>0</v>
      </c>
      <c r="X523" s="17" t="s">
        <v>18</v>
      </c>
      <c r="Y523" s="18">
        <f>COUNTIF(X521:Y522,"a")</f>
        <v>0</v>
      </c>
      <c r="Z523" s="8"/>
      <c r="AA523" s="8"/>
    </row>
    <row r="524" spans="1:27" ht="12.75">
      <c r="A524" s="8"/>
      <c r="B524" s="47" t="s">
        <v>189</v>
      </c>
      <c r="C524" s="48"/>
      <c r="D524" s="48"/>
      <c r="E524" s="49"/>
      <c r="F524" s="43"/>
      <c r="G524" s="43"/>
      <c r="H524" s="43"/>
      <c r="I524" s="43"/>
      <c r="J524" s="43"/>
      <c r="K524" s="45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8"/>
      <c r="AA524" s="8"/>
    </row>
    <row r="525" spans="1:27" ht="12.75">
      <c r="A525" s="8"/>
      <c r="B525" s="50"/>
      <c r="C525" s="51"/>
      <c r="D525" s="51"/>
      <c r="E525" s="52"/>
      <c r="F525" s="44"/>
      <c r="G525" s="44"/>
      <c r="H525" s="44"/>
      <c r="I525" s="44"/>
      <c r="J525" s="44"/>
      <c r="K525" s="36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8"/>
      <c r="AA525" s="8"/>
    </row>
    <row r="526" spans="1:27" ht="15">
      <c r="A526" s="8"/>
      <c r="B526" s="40"/>
      <c r="C526" s="41"/>
      <c r="D526" s="41"/>
      <c r="E526" s="42"/>
      <c r="F526" s="17" t="s">
        <v>17</v>
      </c>
      <c r="G526" s="18">
        <f>COUNTIF(F524:G525,"✔")</f>
        <v>0</v>
      </c>
      <c r="H526" s="17" t="s">
        <v>18</v>
      </c>
      <c r="I526" s="18">
        <f>COUNTIF(H524:I525,"a")</f>
        <v>0</v>
      </c>
      <c r="J526" s="17" t="s">
        <v>17</v>
      </c>
      <c r="K526" s="18">
        <f>COUNTIF(J524:K525,"✔")</f>
        <v>0</v>
      </c>
      <c r="L526" s="17" t="s">
        <v>18</v>
      </c>
      <c r="M526" s="18">
        <f>COUNTIF(L524:M525,"a")</f>
        <v>0</v>
      </c>
      <c r="N526" s="17" t="s">
        <v>17</v>
      </c>
      <c r="O526" s="18">
        <f>COUNTIF(N524:O525,"✔")</f>
        <v>0</v>
      </c>
      <c r="P526" s="17" t="s">
        <v>18</v>
      </c>
      <c r="Q526" s="18">
        <f>COUNTIF(P524:Q525,"a")</f>
        <v>0</v>
      </c>
      <c r="R526" s="17" t="s">
        <v>17</v>
      </c>
      <c r="S526" s="18">
        <f>COUNTIF(R524:S525,"✔")</f>
        <v>0</v>
      </c>
      <c r="T526" s="17" t="s">
        <v>18</v>
      </c>
      <c r="U526" s="18">
        <f>COUNTIF(T524:U525,"a")</f>
        <v>0</v>
      </c>
      <c r="V526" s="17" t="s">
        <v>17</v>
      </c>
      <c r="W526" s="18">
        <f>COUNTIF(V524:W525,"✔")</f>
        <v>0</v>
      </c>
      <c r="X526" s="17" t="s">
        <v>18</v>
      </c>
      <c r="Y526" s="18">
        <f>COUNTIF(X524:Y525,"a")</f>
        <v>0</v>
      </c>
      <c r="Z526" s="8"/>
      <c r="AA526" s="8"/>
    </row>
    <row r="527" spans="1:27" ht="12.75">
      <c r="A527" s="8"/>
      <c r="B527" s="47" t="s">
        <v>190</v>
      </c>
      <c r="C527" s="48"/>
      <c r="D527" s="48"/>
      <c r="E527" s="49"/>
      <c r="F527" s="43"/>
      <c r="G527" s="43"/>
      <c r="H527" s="43"/>
      <c r="I527" s="43"/>
      <c r="J527" s="43"/>
      <c r="K527" s="45"/>
      <c r="L527" s="43"/>
      <c r="M527" s="43"/>
      <c r="N527" s="43"/>
      <c r="O527" s="43"/>
      <c r="P527" s="53"/>
      <c r="Q527" s="43"/>
      <c r="R527" s="43"/>
      <c r="S527" s="43"/>
      <c r="T527" s="53"/>
      <c r="U527" s="43"/>
      <c r="V527" s="43"/>
      <c r="W527" s="43"/>
      <c r="X527" s="53"/>
      <c r="Y527" s="43"/>
      <c r="Z527" s="8"/>
      <c r="AA527" s="8"/>
    </row>
    <row r="528" spans="1:27" ht="12.75">
      <c r="A528" s="8"/>
      <c r="B528" s="50"/>
      <c r="C528" s="51"/>
      <c r="D528" s="51"/>
      <c r="E528" s="52"/>
      <c r="F528" s="44"/>
      <c r="G528" s="44"/>
      <c r="H528" s="44"/>
      <c r="I528" s="44"/>
      <c r="J528" s="44"/>
      <c r="K528" s="36"/>
      <c r="L528" s="44"/>
      <c r="M528" s="44"/>
      <c r="N528" s="44"/>
      <c r="O528" s="44"/>
      <c r="P528" s="36"/>
      <c r="Q528" s="44"/>
      <c r="R528" s="44"/>
      <c r="S528" s="44"/>
      <c r="T528" s="36"/>
      <c r="U528" s="44"/>
      <c r="V528" s="44"/>
      <c r="W528" s="44"/>
      <c r="X528" s="36"/>
      <c r="Y528" s="44"/>
      <c r="Z528" s="8"/>
      <c r="AA528" s="8"/>
    </row>
    <row r="529" spans="1:27" ht="15">
      <c r="A529" s="8"/>
      <c r="B529" s="40"/>
      <c r="C529" s="41"/>
      <c r="D529" s="41"/>
      <c r="E529" s="42"/>
      <c r="F529" s="17" t="s">
        <v>17</v>
      </c>
      <c r="G529" s="18">
        <f>COUNTIF(F527:G528,"✔")</f>
        <v>0</v>
      </c>
      <c r="H529" s="17" t="s">
        <v>18</v>
      </c>
      <c r="I529" s="18">
        <f>COUNTIF(H527:I528,"a")</f>
        <v>0</v>
      </c>
      <c r="J529" s="17" t="s">
        <v>17</v>
      </c>
      <c r="K529" s="18">
        <f>COUNTIF(J527:K528,"✔")</f>
        <v>0</v>
      </c>
      <c r="L529" s="17" t="s">
        <v>18</v>
      </c>
      <c r="M529" s="18">
        <f>COUNTIF(L527:M528,"a")</f>
        <v>0</v>
      </c>
      <c r="N529" s="17" t="s">
        <v>17</v>
      </c>
      <c r="O529" s="18">
        <f>COUNTIF(N527:O528,"✔")</f>
        <v>0</v>
      </c>
      <c r="P529" s="17" t="s">
        <v>18</v>
      </c>
      <c r="Q529" s="18">
        <f>COUNTIF(P527:Q528,"a")</f>
        <v>0</v>
      </c>
      <c r="R529" s="17" t="s">
        <v>17</v>
      </c>
      <c r="S529" s="18">
        <f>COUNTIF(R527:S528,"✔")</f>
        <v>0</v>
      </c>
      <c r="T529" s="17" t="s">
        <v>18</v>
      </c>
      <c r="U529" s="18">
        <f>COUNTIF(T527:U528,"a")</f>
        <v>0</v>
      </c>
      <c r="V529" s="17" t="s">
        <v>17</v>
      </c>
      <c r="W529" s="18">
        <f>COUNTIF(V527:W528,"✔")</f>
        <v>0</v>
      </c>
      <c r="X529" s="17" t="s">
        <v>18</v>
      </c>
      <c r="Y529" s="18">
        <f>COUNTIF(X527:Y528,"a")</f>
        <v>0</v>
      </c>
      <c r="Z529" s="8"/>
      <c r="AA529" s="8"/>
    </row>
    <row r="530" spans="1:27" ht="12.75">
      <c r="A530" s="8"/>
      <c r="B530" s="47" t="s">
        <v>191</v>
      </c>
      <c r="C530" s="48"/>
      <c r="D530" s="48"/>
      <c r="E530" s="49"/>
      <c r="F530" s="43"/>
      <c r="G530" s="43"/>
      <c r="H530" s="43"/>
      <c r="I530" s="43"/>
      <c r="J530" s="43"/>
      <c r="K530" s="45"/>
      <c r="L530" s="43"/>
      <c r="M530" s="43"/>
      <c r="N530" s="43"/>
      <c r="O530" s="43"/>
      <c r="P530" s="43"/>
      <c r="Q530" s="43"/>
      <c r="R530" s="43"/>
      <c r="S530" s="43"/>
      <c r="T530" s="53"/>
      <c r="U530" s="43"/>
      <c r="V530" s="43"/>
      <c r="W530" s="43"/>
      <c r="X530" s="53"/>
      <c r="Y530" s="43"/>
      <c r="Z530" s="8"/>
      <c r="AA530" s="8"/>
    </row>
    <row r="531" spans="1:27" ht="12.75">
      <c r="A531" s="8"/>
      <c r="B531" s="50"/>
      <c r="C531" s="51"/>
      <c r="D531" s="51"/>
      <c r="E531" s="52"/>
      <c r="F531" s="44"/>
      <c r="G531" s="44"/>
      <c r="H531" s="44"/>
      <c r="I531" s="44"/>
      <c r="J531" s="44"/>
      <c r="K531" s="36"/>
      <c r="L531" s="44"/>
      <c r="M531" s="44"/>
      <c r="N531" s="44"/>
      <c r="O531" s="44"/>
      <c r="P531" s="44"/>
      <c r="Q531" s="44"/>
      <c r="R531" s="44"/>
      <c r="S531" s="44"/>
      <c r="T531" s="36"/>
      <c r="U531" s="44"/>
      <c r="V531" s="44"/>
      <c r="W531" s="44"/>
      <c r="X531" s="36"/>
      <c r="Y531" s="44"/>
      <c r="Z531" s="8"/>
      <c r="AA531" s="8"/>
    </row>
    <row r="532" spans="1:27" ht="15">
      <c r="A532" s="8"/>
      <c r="B532" s="40"/>
      <c r="C532" s="41"/>
      <c r="D532" s="41"/>
      <c r="E532" s="42"/>
      <c r="F532" s="17" t="s">
        <v>17</v>
      </c>
      <c r="G532" s="18">
        <f>COUNTIF(F530:G531,"✔")</f>
        <v>0</v>
      </c>
      <c r="H532" s="17" t="s">
        <v>18</v>
      </c>
      <c r="I532" s="18">
        <f>COUNTIF(H530:I531,"a")</f>
        <v>0</v>
      </c>
      <c r="J532" s="17" t="s">
        <v>17</v>
      </c>
      <c r="K532" s="18">
        <f>COUNTIF(J530:K531,"✔")</f>
        <v>0</v>
      </c>
      <c r="L532" s="17" t="s">
        <v>18</v>
      </c>
      <c r="M532" s="18">
        <f>COUNTIF(L530:M531,"a")</f>
        <v>0</v>
      </c>
      <c r="N532" s="17" t="s">
        <v>17</v>
      </c>
      <c r="O532" s="18">
        <f>COUNTIF(N530:O531,"✔")</f>
        <v>0</v>
      </c>
      <c r="P532" s="17" t="s">
        <v>18</v>
      </c>
      <c r="Q532" s="18">
        <f>COUNTIF(P530:Q531,"a")</f>
        <v>0</v>
      </c>
      <c r="R532" s="17" t="s">
        <v>17</v>
      </c>
      <c r="S532" s="18">
        <f>COUNTIF(R530:S531,"✔")</f>
        <v>0</v>
      </c>
      <c r="T532" s="17" t="s">
        <v>18</v>
      </c>
      <c r="U532" s="18">
        <f>COUNTIF(T530:U531,"a")</f>
        <v>0</v>
      </c>
      <c r="V532" s="17" t="s">
        <v>17</v>
      </c>
      <c r="W532" s="18">
        <f>COUNTIF(V530:W531,"✔")</f>
        <v>0</v>
      </c>
      <c r="X532" s="17" t="s">
        <v>18</v>
      </c>
      <c r="Y532" s="18">
        <f>COUNTIF(X530:Y531,"a")</f>
        <v>0</v>
      </c>
      <c r="Z532" s="8"/>
      <c r="AA532" s="8"/>
    </row>
    <row r="533" spans="1:27" ht="12.75">
      <c r="A533" s="8"/>
      <c r="B533" s="47" t="s">
        <v>192</v>
      </c>
      <c r="C533" s="48"/>
      <c r="D533" s="48"/>
      <c r="E533" s="49"/>
      <c r="F533" s="43"/>
      <c r="G533" s="43"/>
      <c r="H533" s="43"/>
      <c r="I533" s="43"/>
      <c r="J533" s="43"/>
      <c r="K533" s="45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8"/>
      <c r="AA533" s="8"/>
    </row>
    <row r="534" spans="1:27" ht="12.75">
      <c r="A534" s="8"/>
      <c r="B534" s="50"/>
      <c r="C534" s="51"/>
      <c r="D534" s="51"/>
      <c r="E534" s="52"/>
      <c r="F534" s="44"/>
      <c r="G534" s="44"/>
      <c r="H534" s="44"/>
      <c r="I534" s="44"/>
      <c r="J534" s="44"/>
      <c r="K534" s="36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8"/>
      <c r="AA534" s="8"/>
    </row>
    <row r="535" spans="1:27" ht="15">
      <c r="A535" s="8"/>
      <c r="B535" s="40"/>
      <c r="C535" s="41"/>
      <c r="D535" s="41"/>
      <c r="E535" s="42"/>
      <c r="F535" s="17" t="s">
        <v>17</v>
      </c>
      <c r="G535" s="18">
        <f>COUNTIF(F533:G534,"✔")</f>
        <v>0</v>
      </c>
      <c r="H535" s="17" t="s">
        <v>18</v>
      </c>
      <c r="I535" s="18">
        <f>COUNTIF(H533:I534,"a")</f>
        <v>0</v>
      </c>
      <c r="J535" s="17" t="s">
        <v>17</v>
      </c>
      <c r="K535" s="18">
        <f>COUNTIF(J533:K534,"✔")</f>
        <v>0</v>
      </c>
      <c r="L535" s="17" t="s">
        <v>18</v>
      </c>
      <c r="M535" s="18">
        <f>COUNTIF(L533:M534,"a")</f>
        <v>0</v>
      </c>
      <c r="N535" s="17" t="s">
        <v>17</v>
      </c>
      <c r="O535" s="18">
        <f>COUNTIF(N533:O534,"✔")</f>
        <v>0</v>
      </c>
      <c r="P535" s="17" t="s">
        <v>18</v>
      </c>
      <c r="Q535" s="18">
        <f>COUNTIF(P533:Q534,"a")</f>
        <v>0</v>
      </c>
      <c r="R535" s="17" t="s">
        <v>17</v>
      </c>
      <c r="S535" s="18">
        <f>COUNTIF(R533:S534,"✔")</f>
        <v>0</v>
      </c>
      <c r="T535" s="17" t="s">
        <v>18</v>
      </c>
      <c r="U535" s="18">
        <f>COUNTIF(T533:U534,"a")</f>
        <v>0</v>
      </c>
      <c r="V535" s="17" t="s">
        <v>17</v>
      </c>
      <c r="W535" s="18">
        <f>COUNTIF(V533:W534,"✔")</f>
        <v>0</v>
      </c>
      <c r="X535" s="17" t="s">
        <v>18</v>
      </c>
      <c r="Y535" s="18">
        <f>COUNTIF(X533:Y534,"a")</f>
        <v>0</v>
      </c>
      <c r="Z535" s="8"/>
      <c r="AA535" s="8"/>
    </row>
    <row r="536" spans="1:27" ht="12.75">
      <c r="A536" s="8"/>
      <c r="B536" s="47" t="s">
        <v>193</v>
      </c>
      <c r="C536" s="48"/>
      <c r="D536" s="48"/>
      <c r="E536" s="49"/>
      <c r="F536" s="43"/>
      <c r="G536" s="43"/>
      <c r="H536" s="43"/>
      <c r="I536" s="43"/>
      <c r="J536" s="43"/>
      <c r="K536" s="45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8"/>
      <c r="AA536" s="8"/>
    </row>
    <row r="537" spans="1:27" ht="12.75">
      <c r="A537" s="8"/>
      <c r="B537" s="50"/>
      <c r="C537" s="51"/>
      <c r="D537" s="51"/>
      <c r="E537" s="52"/>
      <c r="F537" s="44"/>
      <c r="G537" s="44"/>
      <c r="H537" s="44"/>
      <c r="I537" s="44"/>
      <c r="J537" s="44"/>
      <c r="K537" s="36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8"/>
      <c r="AA537" s="8"/>
    </row>
    <row r="538" spans="1:27" ht="15">
      <c r="A538" s="8"/>
      <c r="B538" s="40"/>
      <c r="C538" s="41"/>
      <c r="D538" s="41"/>
      <c r="E538" s="42"/>
      <c r="F538" s="17" t="s">
        <v>17</v>
      </c>
      <c r="G538" s="18">
        <f>COUNTIF(F536:G537,"✔")</f>
        <v>0</v>
      </c>
      <c r="H538" s="17" t="s">
        <v>18</v>
      </c>
      <c r="I538" s="18">
        <f>COUNTIF(H536:I537,"a")</f>
        <v>0</v>
      </c>
      <c r="J538" s="17" t="s">
        <v>17</v>
      </c>
      <c r="K538" s="18">
        <f>COUNTIF(J536:K537,"✔")</f>
        <v>0</v>
      </c>
      <c r="L538" s="17" t="s">
        <v>18</v>
      </c>
      <c r="M538" s="18">
        <f>COUNTIF(L536:M537,"a")</f>
        <v>0</v>
      </c>
      <c r="N538" s="17" t="s">
        <v>17</v>
      </c>
      <c r="O538" s="18">
        <f>COUNTIF(N536:O537,"✔")</f>
        <v>0</v>
      </c>
      <c r="P538" s="17" t="s">
        <v>18</v>
      </c>
      <c r="Q538" s="18">
        <f>COUNTIF(P536:Q537,"a")</f>
        <v>0</v>
      </c>
      <c r="R538" s="17" t="s">
        <v>17</v>
      </c>
      <c r="S538" s="18">
        <f>COUNTIF(R536:S537,"✔")</f>
        <v>0</v>
      </c>
      <c r="T538" s="17" t="s">
        <v>18</v>
      </c>
      <c r="U538" s="18">
        <f>COUNTIF(T536:U537,"a")</f>
        <v>0</v>
      </c>
      <c r="V538" s="17" t="s">
        <v>17</v>
      </c>
      <c r="W538" s="18">
        <f>COUNTIF(V536:W537,"✔")</f>
        <v>0</v>
      </c>
      <c r="X538" s="17" t="s">
        <v>18</v>
      </c>
      <c r="Y538" s="18">
        <f>COUNTIF(X536:Y537,"a")</f>
        <v>0</v>
      </c>
      <c r="Z538" s="8"/>
      <c r="AA538" s="8"/>
    </row>
    <row r="539" spans="1:27" ht="12.75">
      <c r="A539" s="8"/>
      <c r="B539" s="47" t="s">
        <v>194</v>
      </c>
      <c r="C539" s="48"/>
      <c r="D539" s="48"/>
      <c r="E539" s="49"/>
      <c r="F539" s="43"/>
      <c r="G539" s="43"/>
      <c r="H539" s="43"/>
      <c r="I539" s="43"/>
      <c r="J539" s="43"/>
      <c r="K539" s="45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8"/>
      <c r="AA539" s="8"/>
    </row>
    <row r="540" spans="1:27" ht="12.75">
      <c r="A540" s="8"/>
      <c r="B540" s="50"/>
      <c r="C540" s="51"/>
      <c r="D540" s="51"/>
      <c r="E540" s="52"/>
      <c r="F540" s="44"/>
      <c r="G540" s="44"/>
      <c r="H540" s="44"/>
      <c r="I540" s="44"/>
      <c r="J540" s="44"/>
      <c r="K540" s="36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8"/>
      <c r="AA540" s="8"/>
    </row>
    <row r="541" spans="1:27" ht="15">
      <c r="A541" s="8"/>
      <c r="B541" s="40"/>
      <c r="C541" s="41"/>
      <c r="D541" s="41"/>
      <c r="E541" s="42"/>
      <c r="F541" s="17" t="s">
        <v>17</v>
      </c>
      <c r="G541" s="18">
        <f>COUNTIF(F539:G540,"✔")</f>
        <v>0</v>
      </c>
      <c r="H541" s="17" t="s">
        <v>18</v>
      </c>
      <c r="I541" s="18">
        <f>COUNTIF(H539:I540,"a")</f>
        <v>0</v>
      </c>
      <c r="J541" s="17" t="s">
        <v>17</v>
      </c>
      <c r="K541" s="18">
        <f>COUNTIF(J539:K540,"✔")</f>
        <v>0</v>
      </c>
      <c r="L541" s="17" t="s">
        <v>18</v>
      </c>
      <c r="M541" s="18">
        <f>COUNTIF(L539:M540,"a")</f>
        <v>0</v>
      </c>
      <c r="N541" s="17" t="s">
        <v>17</v>
      </c>
      <c r="O541" s="18">
        <f>COUNTIF(N539:O540,"✔")</f>
        <v>0</v>
      </c>
      <c r="P541" s="17" t="s">
        <v>18</v>
      </c>
      <c r="Q541" s="18">
        <f>COUNTIF(P539:Q540,"a")</f>
        <v>0</v>
      </c>
      <c r="R541" s="17" t="s">
        <v>17</v>
      </c>
      <c r="S541" s="18">
        <f>COUNTIF(R539:S540,"✔")</f>
        <v>0</v>
      </c>
      <c r="T541" s="17" t="s">
        <v>18</v>
      </c>
      <c r="U541" s="18">
        <f>COUNTIF(T539:U540,"a")</f>
        <v>0</v>
      </c>
      <c r="V541" s="17" t="s">
        <v>17</v>
      </c>
      <c r="W541" s="18">
        <f>COUNTIF(V539:W540,"✔")</f>
        <v>0</v>
      </c>
      <c r="X541" s="17" t="s">
        <v>18</v>
      </c>
      <c r="Y541" s="18">
        <f>COUNTIF(X539:Y540,"a")</f>
        <v>0</v>
      </c>
      <c r="Z541" s="8"/>
      <c r="AA541" s="8"/>
    </row>
    <row r="542" spans="1:27" ht="12.75">
      <c r="A542" s="8"/>
      <c r="B542" s="47" t="s">
        <v>195</v>
      </c>
      <c r="C542" s="48"/>
      <c r="D542" s="48"/>
      <c r="E542" s="49"/>
      <c r="F542" s="43"/>
      <c r="G542" s="43"/>
      <c r="H542" s="43"/>
      <c r="I542" s="43"/>
      <c r="J542" s="43"/>
      <c r="K542" s="45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8"/>
      <c r="AA542" s="8"/>
    </row>
    <row r="543" spans="1:27" ht="12.75">
      <c r="A543" s="8"/>
      <c r="B543" s="50"/>
      <c r="C543" s="51"/>
      <c r="D543" s="51"/>
      <c r="E543" s="52"/>
      <c r="F543" s="44"/>
      <c r="G543" s="44"/>
      <c r="H543" s="44"/>
      <c r="I543" s="44"/>
      <c r="J543" s="44"/>
      <c r="K543" s="36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8"/>
      <c r="AA543" s="8"/>
    </row>
    <row r="544" spans="1:27" ht="15">
      <c r="A544" s="8"/>
      <c r="B544" s="40"/>
      <c r="C544" s="41"/>
      <c r="D544" s="41"/>
      <c r="E544" s="42"/>
      <c r="F544" s="17" t="s">
        <v>17</v>
      </c>
      <c r="G544" s="18">
        <f>COUNTIF(F542:G543,"✔")</f>
        <v>0</v>
      </c>
      <c r="H544" s="17" t="s">
        <v>18</v>
      </c>
      <c r="I544" s="18">
        <f>COUNTIF(H542:I543,"a")</f>
        <v>0</v>
      </c>
      <c r="J544" s="17" t="s">
        <v>17</v>
      </c>
      <c r="K544" s="18">
        <f>COUNTIF(J542:K543,"✔")</f>
        <v>0</v>
      </c>
      <c r="L544" s="17" t="s">
        <v>18</v>
      </c>
      <c r="M544" s="18">
        <f>COUNTIF(L542:M543,"a")</f>
        <v>0</v>
      </c>
      <c r="N544" s="17" t="s">
        <v>17</v>
      </c>
      <c r="O544" s="18">
        <f>COUNTIF(N542:O543,"✔")</f>
        <v>0</v>
      </c>
      <c r="P544" s="17" t="s">
        <v>18</v>
      </c>
      <c r="Q544" s="18">
        <f>COUNTIF(P542:Q543,"a")</f>
        <v>0</v>
      </c>
      <c r="R544" s="17" t="s">
        <v>17</v>
      </c>
      <c r="S544" s="18">
        <f>COUNTIF(R542:S543,"✔")</f>
        <v>0</v>
      </c>
      <c r="T544" s="17" t="s">
        <v>18</v>
      </c>
      <c r="U544" s="18">
        <f>COUNTIF(T542:U543,"a")</f>
        <v>0</v>
      </c>
      <c r="V544" s="17" t="s">
        <v>17</v>
      </c>
      <c r="W544" s="18">
        <f>COUNTIF(V542:W543,"✔")</f>
        <v>0</v>
      </c>
      <c r="X544" s="17" t="s">
        <v>18</v>
      </c>
      <c r="Y544" s="18">
        <f>COUNTIF(X542:Y543,"a")</f>
        <v>0</v>
      </c>
      <c r="Z544" s="8"/>
      <c r="AA544" s="8"/>
    </row>
    <row r="545" spans="1:27" ht="12.75">
      <c r="A545" s="8"/>
      <c r="B545" s="47" t="s">
        <v>196</v>
      </c>
      <c r="C545" s="48"/>
      <c r="D545" s="48"/>
      <c r="E545" s="49"/>
      <c r="F545" s="43"/>
      <c r="G545" s="43"/>
      <c r="H545" s="53"/>
      <c r="I545" s="43"/>
      <c r="J545" s="43"/>
      <c r="K545" s="45"/>
      <c r="L545" s="53"/>
      <c r="M545" s="43"/>
      <c r="N545" s="43"/>
      <c r="O545" s="43"/>
      <c r="P545" s="57"/>
      <c r="Q545" s="43"/>
      <c r="R545" s="43"/>
      <c r="S545" s="43"/>
      <c r="T545" s="43"/>
      <c r="U545" s="43"/>
      <c r="V545" s="43"/>
      <c r="W545" s="43"/>
      <c r="X545" s="43"/>
      <c r="Y545" s="43"/>
      <c r="Z545" s="8"/>
      <c r="AA545" s="8"/>
    </row>
    <row r="546" spans="1:27" ht="12.75">
      <c r="A546" s="8"/>
      <c r="B546" s="50"/>
      <c r="C546" s="51"/>
      <c r="D546" s="51"/>
      <c r="E546" s="52"/>
      <c r="F546" s="44"/>
      <c r="G546" s="44"/>
      <c r="H546" s="36"/>
      <c r="I546" s="44"/>
      <c r="J546" s="44"/>
      <c r="K546" s="36"/>
      <c r="L546" s="36"/>
      <c r="M546" s="44"/>
      <c r="N546" s="44"/>
      <c r="O546" s="44"/>
      <c r="P546" s="36"/>
      <c r="Q546" s="44"/>
      <c r="R546" s="44"/>
      <c r="S546" s="44"/>
      <c r="T546" s="44"/>
      <c r="U546" s="44"/>
      <c r="V546" s="44"/>
      <c r="W546" s="44"/>
      <c r="X546" s="44"/>
      <c r="Y546" s="44"/>
      <c r="Z546" s="8"/>
      <c r="AA546" s="8"/>
    </row>
    <row r="547" spans="1:27" ht="15">
      <c r="A547" s="8"/>
      <c r="B547" s="40"/>
      <c r="C547" s="41"/>
      <c r="D547" s="41"/>
      <c r="E547" s="42"/>
      <c r="F547" s="17" t="s">
        <v>17</v>
      </c>
      <c r="G547" s="18">
        <f>COUNTIF(F545:G546,"✔")</f>
        <v>0</v>
      </c>
      <c r="H547" s="17" t="s">
        <v>18</v>
      </c>
      <c r="I547" s="18">
        <f>COUNTIF(H545:I546,"a")</f>
        <v>0</v>
      </c>
      <c r="J547" s="17" t="s">
        <v>17</v>
      </c>
      <c r="K547" s="18">
        <f>COUNTIF(J545:K546,"✔")</f>
        <v>0</v>
      </c>
      <c r="L547" s="17" t="s">
        <v>18</v>
      </c>
      <c r="M547" s="18">
        <f>COUNTIF(L545:M546,"a")</f>
        <v>0</v>
      </c>
      <c r="N547" s="17" t="s">
        <v>17</v>
      </c>
      <c r="O547" s="18">
        <f>COUNTIF(N545:O546,"✔")</f>
        <v>0</v>
      </c>
      <c r="P547" s="17" t="s">
        <v>18</v>
      </c>
      <c r="Q547" s="18">
        <f>COUNTIF(P545:Q546,"a")</f>
        <v>0</v>
      </c>
      <c r="R547" s="17" t="s">
        <v>17</v>
      </c>
      <c r="S547" s="18">
        <f>COUNTIF(R545:S546,"✔")</f>
        <v>0</v>
      </c>
      <c r="T547" s="17" t="s">
        <v>18</v>
      </c>
      <c r="U547" s="18">
        <f>COUNTIF(T545:U546,"a")</f>
        <v>0</v>
      </c>
      <c r="V547" s="17" t="s">
        <v>17</v>
      </c>
      <c r="W547" s="18">
        <f>COUNTIF(V545:W546,"✔")</f>
        <v>0</v>
      </c>
      <c r="X547" s="17" t="s">
        <v>18</v>
      </c>
      <c r="Y547" s="18">
        <f>COUNTIF(X545:Y546,"a")</f>
        <v>0</v>
      </c>
      <c r="Z547" s="8"/>
      <c r="AA547" s="8"/>
    </row>
    <row r="548" spans="1:27" ht="12.75">
      <c r="A548" s="8"/>
      <c r="B548" s="47" t="s">
        <v>197</v>
      </c>
      <c r="C548" s="48"/>
      <c r="D548" s="48"/>
      <c r="E548" s="49"/>
      <c r="F548" s="43"/>
      <c r="G548" s="43"/>
      <c r="H548" s="43"/>
      <c r="I548" s="43"/>
      <c r="J548" s="43"/>
      <c r="K548" s="45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8"/>
      <c r="AA548" s="8"/>
    </row>
    <row r="549" spans="1:27" ht="12.75">
      <c r="A549" s="8"/>
      <c r="B549" s="50"/>
      <c r="C549" s="51"/>
      <c r="D549" s="51"/>
      <c r="E549" s="52"/>
      <c r="F549" s="44"/>
      <c r="G549" s="44"/>
      <c r="H549" s="44"/>
      <c r="I549" s="44"/>
      <c r="J549" s="44"/>
      <c r="K549" s="36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8"/>
      <c r="AA549" s="8"/>
    </row>
    <row r="550" spans="1:27" ht="15">
      <c r="A550" s="8"/>
      <c r="B550" s="40"/>
      <c r="C550" s="41"/>
      <c r="D550" s="41"/>
      <c r="E550" s="42"/>
      <c r="F550" s="17" t="s">
        <v>17</v>
      </c>
      <c r="G550" s="18">
        <f>COUNTIF(F548:G549,"✔")</f>
        <v>0</v>
      </c>
      <c r="H550" s="17" t="s">
        <v>18</v>
      </c>
      <c r="I550" s="18">
        <f>COUNTIF(H548:I549,"a")</f>
        <v>0</v>
      </c>
      <c r="J550" s="17" t="s">
        <v>17</v>
      </c>
      <c r="K550" s="18">
        <f>COUNTIF(J548:K549,"✔")</f>
        <v>0</v>
      </c>
      <c r="L550" s="17" t="s">
        <v>18</v>
      </c>
      <c r="M550" s="18">
        <f>COUNTIF(L548:M549,"a")</f>
        <v>0</v>
      </c>
      <c r="N550" s="17" t="s">
        <v>17</v>
      </c>
      <c r="O550" s="18">
        <f>COUNTIF(N548:O549,"✔")</f>
        <v>0</v>
      </c>
      <c r="P550" s="17" t="s">
        <v>18</v>
      </c>
      <c r="Q550" s="18">
        <f>COUNTIF(P548:Q549,"a")</f>
        <v>0</v>
      </c>
      <c r="R550" s="17" t="s">
        <v>17</v>
      </c>
      <c r="S550" s="18">
        <f>COUNTIF(R548:S549,"✔")</f>
        <v>0</v>
      </c>
      <c r="T550" s="17" t="s">
        <v>18</v>
      </c>
      <c r="U550" s="18">
        <f>COUNTIF(T548:U549,"a")</f>
        <v>0</v>
      </c>
      <c r="V550" s="17" t="s">
        <v>17</v>
      </c>
      <c r="W550" s="18">
        <f>COUNTIF(V548:W549,"✔")</f>
        <v>0</v>
      </c>
      <c r="X550" s="17" t="s">
        <v>18</v>
      </c>
      <c r="Y550" s="18">
        <f>COUNTIF(X548:Y549,"a")</f>
        <v>0</v>
      </c>
      <c r="Z550" s="8"/>
      <c r="AA550" s="8"/>
    </row>
    <row r="551" spans="1:27" ht="22.5">
      <c r="A551" s="8"/>
      <c r="B551" s="47" t="s">
        <v>198</v>
      </c>
      <c r="C551" s="48"/>
      <c r="D551" s="48"/>
      <c r="E551" s="49"/>
      <c r="F551" s="43"/>
      <c r="G551" s="43"/>
      <c r="H551" s="53"/>
      <c r="I551" s="43"/>
      <c r="J551" s="43"/>
      <c r="K551" s="45"/>
      <c r="L551" s="43"/>
      <c r="M551" s="43"/>
      <c r="N551" s="43"/>
      <c r="O551" s="43"/>
      <c r="P551" s="13"/>
      <c r="Q551" s="43"/>
      <c r="R551" s="43"/>
      <c r="S551" s="43"/>
      <c r="T551" s="43"/>
      <c r="U551" s="43"/>
      <c r="V551" s="43"/>
      <c r="W551" s="43"/>
      <c r="X551" s="43"/>
      <c r="Y551" s="43"/>
      <c r="Z551" s="8"/>
      <c r="AA551" s="8"/>
    </row>
    <row r="552" spans="1:27" ht="15">
      <c r="A552" s="8"/>
      <c r="B552" s="50"/>
      <c r="C552" s="51"/>
      <c r="D552" s="51"/>
      <c r="E552" s="52"/>
      <c r="F552" s="44"/>
      <c r="G552" s="44"/>
      <c r="H552" s="36"/>
      <c r="I552" s="44"/>
      <c r="J552" s="44"/>
      <c r="K552" s="36"/>
      <c r="L552" s="44"/>
      <c r="M552" s="44"/>
      <c r="N552" s="44"/>
      <c r="O552" s="44"/>
      <c r="P552" s="19"/>
      <c r="Q552" s="44"/>
      <c r="R552" s="44"/>
      <c r="S552" s="44"/>
      <c r="T552" s="44"/>
      <c r="U552" s="44"/>
      <c r="V552" s="44"/>
      <c r="W552" s="44"/>
      <c r="X552" s="44"/>
      <c r="Y552" s="44"/>
      <c r="Z552" s="8"/>
      <c r="AA552" s="8"/>
    </row>
    <row r="553" spans="1:27" ht="15">
      <c r="A553" s="8"/>
      <c r="B553" s="40"/>
      <c r="C553" s="41"/>
      <c r="D553" s="41"/>
      <c r="E553" s="42"/>
      <c r="F553" s="17" t="s">
        <v>17</v>
      </c>
      <c r="G553" s="18">
        <f>COUNTIF(F551:G552,"✔")</f>
        <v>0</v>
      </c>
      <c r="H553" s="17" t="s">
        <v>18</v>
      </c>
      <c r="I553" s="18">
        <f>COUNTIF(H551:I552,"a")</f>
        <v>0</v>
      </c>
      <c r="J553" s="17" t="s">
        <v>17</v>
      </c>
      <c r="K553" s="18">
        <f>COUNTIF(J551:K552,"✔")</f>
        <v>0</v>
      </c>
      <c r="L553" s="17" t="s">
        <v>18</v>
      </c>
      <c r="M553" s="18">
        <f>COUNTIF(L551:M552,"a")</f>
        <v>0</v>
      </c>
      <c r="N553" s="17" t="s">
        <v>17</v>
      </c>
      <c r="O553" s="18">
        <f>COUNTIF(N551:O552,"✔")</f>
        <v>0</v>
      </c>
      <c r="P553" s="17" t="s">
        <v>18</v>
      </c>
      <c r="Q553" s="18">
        <f>COUNTIF(P551:Q552,"a")</f>
        <v>0</v>
      </c>
      <c r="R553" s="17" t="s">
        <v>17</v>
      </c>
      <c r="S553" s="18">
        <f>COUNTIF(R551:S552,"✔")</f>
        <v>0</v>
      </c>
      <c r="T553" s="17" t="s">
        <v>18</v>
      </c>
      <c r="U553" s="18">
        <f>COUNTIF(T551:U552,"a")</f>
        <v>0</v>
      </c>
      <c r="V553" s="17" t="s">
        <v>17</v>
      </c>
      <c r="W553" s="18">
        <f>COUNTIF(V551:W552,"✔")</f>
        <v>0</v>
      </c>
      <c r="X553" s="17" t="s">
        <v>18</v>
      </c>
      <c r="Y553" s="18">
        <f>COUNTIF(X551:Y552,"a")</f>
        <v>0</v>
      </c>
      <c r="Z553" s="8"/>
      <c r="AA553" s="8"/>
    </row>
    <row r="554" spans="1:27" ht="12.75">
      <c r="A554" s="8"/>
      <c r="B554" s="47" t="s">
        <v>199</v>
      </c>
      <c r="C554" s="48"/>
      <c r="D554" s="48"/>
      <c r="E554" s="49"/>
      <c r="F554" s="43"/>
      <c r="G554" s="43"/>
      <c r="H554" s="43"/>
      <c r="I554" s="43"/>
      <c r="J554" s="43"/>
      <c r="K554" s="45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8"/>
      <c r="AA554" s="8"/>
    </row>
    <row r="555" spans="1:27" ht="12.75">
      <c r="A555" s="8"/>
      <c r="B555" s="50"/>
      <c r="C555" s="51"/>
      <c r="D555" s="51"/>
      <c r="E555" s="52"/>
      <c r="F555" s="44"/>
      <c r="G555" s="44"/>
      <c r="H555" s="44"/>
      <c r="I555" s="44"/>
      <c r="J555" s="44"/>
      <c r="K555" s="36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8"/>
      <c r="AA555" s="8"/>
    </row>
    <row r="556" spans="1:27" ht="15">
      <c r="A556" s="8"/>
      <c r="B556" s="40"/>
      <c r="C556" s="41"/>
      <c r="D556" s="41"/>
      <c r="E556" s="42"/>
      <c r="F556" s="17" t="s">
        <v>17</v>
      </c>
      <c r="G556" s="18">
        <f>COUNTIF(F554:G555,"✔")</f>
        <v>0</v>
      </c>
      <c r="H556" s="17" t="s">
        <v>18</v>
      </c>
      <c r="I556" s="18">
        <f>COUNTIF(H554:I555,"a")</f>
        <v>0</v>
      </c>
      <c r="J556" s="17" t="s">
        <v>17</v>
      </c>
      <c r="K556" s="18">
        <f>COUNTIF(J554:K555,"✔")</f>
        <v>0</v>
      </c>
      <c r="L556" s="17" t="s">
        <v>18</v>
      </c>
      <c r="M556" s="18">
        <f>COUNTIF(L554:M555,"a")</f>
        <v>0</v>
      </c>
      <c r="N556" s="17" t="s">
        <v>17</v>
      </c>
      <c r="O556" s="18">
        <f>COUNTIF(N554:O555,"✔")</f>
        <v>0</v>
      </c>
      <c r="P556" s="17" t="s">
        <v>18</v>
      </c>
      <c r="Q556" s="18">
        <f>COUNTIF(P554:Q555,"a")</f>
        <v>0</v>
      </c>
      <c r="R556" s="17" t="s">
        <v>17</v>
      </c>
      <c r="S556" s="18">
        <f>COUNTIF(R554:S555,"✔")</f>
        <v>0</v>
      </c>
      <c r="T556" s="17" t="s">
        <v>18</v>
      </c>
      <c r="U556" s="18">
        <f>COUNTIF(T554:U555,"a")</f>
        <v>0</v>
      </c>
      <c r="V556" s="17" t="s">
        <v>17</v>
      </c>
      <c r="W556" s="18">
        <f>COUNTIF(V554:W555,"✔")</f>
        <v>0</v>
      </c>
      <c r="X556" s="17" t="s">
        <v>18</v>
      </c>
      <c r="Y556" s="18">
        <f>COUNTIF(X554:Y555,"a")</f>
        <v>0</v>
      </c>
      <c r="Z556" s="8"/>
      <c r="AA556" s="8"/>
    </row>
    <row r="557" spans="1:27" ht="22.5">
      <c r="A557" s="8"/>
      <c r="B557" s="47" t="s">
        <v>200</v>
      </c>
      <c r="C557" s="48"/>
      <c r="D557" s="48"/>
      <c r="E557" s="49"/>
      <c r="F557" s="43"/>
      <c r="G557" s="43"/>
      <c r="H557" s="53"/>
      <c r="I557" s="43"/>
      <c r="J557" s="43"/>
      <c r="K557" s="45"/>
      <c r="L557" s="43"/>
      <c r="M557" s="43"/>
      <c r="N557" s="43"/>
      <c r="O557" s="43"/>
      <c r="P557" s="13"/>
      <c r="Q557" s="43"/>
      <c r="R557" s="43"/>
      <c r="S557" s="43"/>
      <c r="T557" s="43"/>
      <c r="U557" s="43"/>
      <c r="V557" s="43"/>
      <c r="W557" s="43"/>
      <c r="X557" s="43"/>
      <c r="Y557" s="43"/>
      <c r="Z557" s="8"/>
      <c r="AA557" s="8"/>
    </row>
    <row r="558" spans="1:27" ht="15">
      <c r="A558" s="8"/>
      <c r="B558" s="50"/>
      <c r="C558" s="51"/>
      <c r="D558" s="51"/>
      <c r="E558" s="52"/>
      <c r="F558" s="44"/>
      <c r="G558" s="44"/>
      <c r="H558" s="36"/>
      <c r="I558" s="44"/>
      <c r="J558" s="44"/>
      <c r="K558" s="36"/>
      <c r="L558" s="44"/>
      <c r="M558" s="44"/>
      <c r="N558" s="44"/>
      <c r="O558" s="44"/>
      <c r="P558" s="19"/>
      <c r="Q558" s="44"/>
      <c r="R558" s="44"/>
      <c r="S558" s="44"/>
      <c r="T558" s="44"/>
      <c r="U558" s="44"/>
      <c r="V558" s="44"/>
      <c r="W558" s="44"/>
      <c r="X558" s="44"/>
      <c r="Y558" s="44"/>
      <c r="Z558" s="8"/>
      <c r="AA558" s="8"/>
    </row>
    <row r="559" spans="1:27" ht="15">
      <c r="A559" s="8"/>
      <c r="B559" s="40"/>
      <c r="C559" s="41"/>
      <c r="D559" s="41"/>
      <c r="E559" s="42"/>
      <c r="F559" s="17" t="s">
        <v>17</v>
      </c>
      <c r="G559" s="18">
        <f>COUNTIF(F557:G558,"✔")</f>
        <v>0</v>
      </c>
      <c r="H559" s="17" t="s">
        <v>18</v>
      </c>
      <c r="I559" s="18">
        <f>COUNTIF(H557:I558,"a")</f>
        <v>0</v>
      </c>
      <c r="J559" s="17" t="s">
        <v>17</v>
      </c>
      <c r="K559" s="18">
        <f>COUNTIF(J557:K558,"✔")</f>
        <v>0</v>
      </c>
      <c r="L559" s="17" t="s">
        <v>18</v>
      </c>
      <c r="M559" s="18">
        <f>COUNTIF(L557:M558,"a")</f>
        <v>0</v>
      </c>
      <c r="N559" s="17" t="s">
        <v>17</v>
      </c>
      <c r="O559" s="18">
        <f>COUNTIF(N557:O558,"✔")</f>
        <v>0</v>
      </c>
      <c r="P559" s="17" t="s">
        <v>18</v>
      </c>
      <c r="Q559" s="18">
        <f>COUNTIF(P557:Q558,"a")</f>
        <v>0</v>
      </c>
      <c r="R559" s="17" t="s">
        <v>17</v>
      </c>
      <c r="S559" s="18">
        <f>COUNTIF(R557:S558,"✔")</f>
        <v>0</v>
      </c>
      <c r="T559" s="17" t="s">
        <v>18</v>
      </c>
      <c r="U559" s="18">
        <f>COUNTIF(T557:U558,"a")</f>
        <v>0</v>
      </c>
      <c r="V559" s="17" t="s">
        <v>17</v>
      </c>
      <c r="W559" s="18">
        <f>COUNTIF(V557:W558,"✔")</f>
        <v>0</v>
      </c>
      <c r="X559" s="17" t="s">
        <v>18</v>
      </c>
      <c r="Y559" s="18">
        <f>COUNTIF(X557:Y558,"a")</f>
        <v>0</v>
      </c>
      <c r="Z559" s="8"/>
      <c r="AA559" s="8"/>
    </row>
    <row r="560" spans="1:27" ht="12.75">
      <c r="A560" s="8"/>
      <c r="B560" s="47" t="s">
        <v>201</v>
      </c>
      <c r="C560" s="48"/>
      <c r="D560" s="48"/>
      <c r="E560" s="49"/>
      <c r="F560" s="43"/>
      <c r="G560" s="43"/>
      <c r="H560" s="43"/>
      <c r="I560" s="43"/>
      <c r="J560" s="43"/>
      <c r="K560" s="45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8"/>
      <c r="AA560" s="8"/>
    </row>
    <row r="561" spans="1:27" ht="12.75">
      <c r="A561" s="8"/>
      <c r="B561" s="50"/>
      <c r="C561" s="51"/>
      <c r="D561" s="51"/>
      <c r="E561" s="52"/>
      <c r="F561" s="44"/>
      <c r="G561" s="44"/>
      <c r="H561" s="44"/>
      <c r="I561" s="44"/>
      <c r="J561" s="44"/>
      <c r="K561" s="36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8"/>
      <c r="AA561" s="8"/>
    </row>
    <row r="562" spans="1:27" ht="15">
      <c r="A562" s="8"/>
      <c r="B562" s="40"/>
      <c r="C562" s="41"/>
      <c r="D562" s="41"/>
      <c r="E562" s="42"/>
      <c r="F562" s="17" t="s">
        <v>17</v>
      </c>
      <c r="G562" s="18">
        <f>COUNTIF(F560:G561,"✔")</f>
        <v>0</v>
      </c>
      <c r="H562" s="17" t="s">
        <v>18</v>
      </c>
      <c r="I562" s="18">
        <f>COUNTIF(H560:I561,"a")</f>
        <v>0</v>
      </c>
      <c r="J562" s="17" t="s">
        <v>17</v>
      </c>
      <c r="K562" s="18">
        <f>COUNTIF(J560:K561,"✔")</f>
        <v>0</v>
      </c>
      <c r="L562" s="17" t="s">
        <v>18</v>
      </c>
      <c r="M562" s="18">
        <f>COUNTIF(L560:M561,"a")</f>
        <v>0</v>
      </c>
      <c r="N562" s="17" t="s">
        <v>17</v>
      </c>
      <c r="O562" s="18">
        <f>COUNTIF(N560:O561,"✔")</f>
        <v>0</v>
      </c>
      <c r="P562" s="17" t="s">
        <v>18</v>
      </c>
      <c r="Q562" s="18">
        <f>COUNTIF(P560:Q561,"a")</f>
        <v>0</v>
      </c>
      <c r="R562" s="17" t="s">
        <v>17</v>
      </c>
      <c r="S562" s="18">
        <f>COUNTIF(R560:S561,"✔")</f>
        <v>0</v>
      </c>
      <c r="T562" s="17" t="s">
        <v>18</v>
      </c>
      <c r="U562" s="18">
        <f>COUNTIF(T560:U561,"a")</f>
        <v>0</v>
      </c>
      <c r="V562" s="17" t="s">
        <v>17</v>
      </c>
      <c r="W562" s="18">
        <f>COUNTIF(V560:W561,"✔")</f>
        <v>0</v>
      </c>
      <c r="X562" s="17" t="s">
        <v>18</v>
      </c>
      <c r="Y562" s="18">
        <f>COUNTIF(X560:Y561,"a")</f>
        <v>0</v>
      </c>
      <c r="Z562" s="8"/>
      <c r="AA562" s="8"/>
    </row>
    <row r="563" spans="1:27" ht="12.75">
      <c r="A563" s="8"/>
      <c r="B563" s="47" t="s">
        <v>202</v>
      </c>
      <c r="C563" s="48"/>
      <c r="D563" s="48"/>
      <c r="E563" s="49"/>
      <c r="F563" s="43"/>
      <c r="G563" s="43"/>
      <c r="H563" s="43"/>
      <c r="I563" s="43"/>
      <c r="J563" s="43"/>
      <c r="K563" s="45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8"/>
      <c r="AA563" s="8"/>
    </row>
    <row r="564" spans="1:27" ht="12.75">
      <c r="A564" s="8"/>
      <c r="B564" s="50"/>
      <c r="C564" s="51"/>
      <c r="D564" s="51"/>
      <c r="E564" s="52"/>
      <c r="F564" s="44"/>
      <c r="G564" s="44"/>
      <c r="H564" s="44"/>
      <c r="I564" s="44"/>
      <c r="J564" s="44"/>
      <c r="K564" s="36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8"/>
      <c r="AA564" s="8"/>
    </row>
    <row r="565" spans="1:27" ht="15">
      <c r="A565" s="8"/>
      <c r="B565" s="40"/>
      <c r="C565" s="41"/>
      <c r="D565" s="41"/>
      <c r="E565" s="42"/>
      <c r="F565" s="17" t="s">
        <v>17</v>
      </c>
      <c r="G565" s="18">
        <f>COUNTIF(F563:G564,"✔")</f>
        <v>0</v>
      </c>
      <c r="H565" s="17" t="s">
        <v>18</v>
      </c>
      <c r="I565" s="18">
        <f>COUNTIF(H563:I564,"a")</f>
        <v>0</v>
      </c>
      <c r="J565" s="17" t="s">
        <v>17</v>
      </c>
      <c r="K565" s="18">
        <f>COUNTIF(J563:K564,"✔")</f>
        <v>0</v>
      </c>
      <c r="L565" s="17" t="s">
        <v>18</v>
      </c>
      <c r="M565" s="18">
        <f>COUNTIF(L563:M564,"a")</f>
        <v>0</v>
      </c>
      <c r="N565" s="17" t="s">
        <v>17</v>
      </c>
      <c r="O565" s="18">
        <f>COUNTIF(N563:O564,"✔")</f>
        <v>0</v>
      </c>
      <c r="P565" s="17" t="s">
        <v>18</v>
      </c>
      <c r="Q565" s="18">
        <f>COUNTIF(P563:Q564,"a")</f>
        <v>0</v>
      </c>
      <c r="R565" s="17" t="s">
        <v>17</v>
      </c>
      <c r="S565" s="18">
        <f>COUNTIF(R563:S564,"✔")</f>
        <v>0</v>
      </c>
      <c r="T565" s="17" t="s">
        <v>18</v>
      </c>
      <c r="U565" s="18">
        <f>COUNTIF(T563:U564,"a")</f>
        <v>0</v>
      </c>
      <c r="V565" s="17" t="s">
        <v>17</v>
      </c>
      <c r="W565" s="18">
        <f>COUNTIF(V563:W564,"✔")</f>
        <v>0</v>
      </c>
      <c r="X565" s="17" t="s">
        <v>18</v>
      </c>
      <c r="Y565" s="18">
        <f>COUNTIF(X563:Y564,"a")</f>
        <v>0</v>
      </c>
      <c r="Z565" s="8"/>
      <c r="AA565" s="8"/>
    </row>
    <row r="566" spans="1:27" ht="12.75">
      <c r="A566" s="8"/>
      <c r="B566" s="47" t="s">
        <v>203</v>
      </c>
      <c r="C566" s="48"/>
      <c r="D566" s="48"/>
      <c r="E566" s="49"/>
      <c r="F566" s="43"/>
      <c r="G566" s="43"/>
      <c r="H566" s="43"/>
      <c r="I566" s="43"/>
      <c r="J566" s="43"/>
      <c r="K566" s="45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8"/>
      <c r="AA566" s="8"/>
    </row>
    <row r="567" spans="1:27" ht="12.75">
      <c r="A567" s="8"/>
      <c r="B567" s="50"/>
      <c r="C567" s="51"/>
      <c r="D567" s="51"/>
      <c r="E567" s="52"/>
      <c r="F567" s="44"/>
      <c r="G567" s="44"/>
      <c r="H567" s="44"/>
      <c r="I567" s="44"/>
      <c r="J567" s="44"/>
      <c r="K567" s="36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8"/>
      <c r="AA567" s="8"/>
    </row>
    <row r="568" spans="1:27" ht="15">
      <c r="A568" s="8"/>
      <c r="B568" s="40"/>
      <c r="C568" s="41"/>
      <c r="D568" s="41"/>
      <c r="E568" s="42"/>
      <c r="F568" s="17" t="s">
        <v>17</v>
      </c>
      <c r="G568" s="18">
        <f>COUNTIF(F566:G567,"✔")</f>
        <v>0</v>
      </c>
      <c r="H568" s="17" t="s">
        <v>18</v>
      </c>
      <c r="I568" s="18">
        <f>COUNTIF(H566:I567,"a")</f>
        <v>0</v>
      </c>
      <c r="J568" s="17" t="s">
        <v>17</v>
      </c>
      <c r="K568" s="18">
        <f>COUNTIF(J566:K567,"✔")</f>
        <v>0</v>
      </c>
      <c r="L568" s="17" t="s">
        <v>18</v>
      </c>
      <c r="M568" s="18">
        <f>COUNTIF(L566:M567,"a")</f>
        <v>0</v>
      </c>
      <c r="N568" s="17" t="s">
        <v>17</v>
      </c>
      <c r="O568" s="18">
        <f>COUNTIF(N566:O567,"✔")</f>
        <v>0</v>
      </c>
      <c r="P568" s="17" t="s">
        <v>18</v>
      </c>
      <c r="Q568" s="18">
        <f>COUNTIF(P566:Q567,"a")</f>
        <v>0</v>
      </c>
      <c r="R568" s="17" t="s">
        <v>17</v>
      </c>
      <c r="S568" s="18">
        <f>COUNTIF(R566:S567,"✔")</f>
        <v>0</v>
      </c>
      <c r="T568" s="17" t="s">
        <v>18</v>
      </c>
      <c r="U568" s="18">
        <f>COUNTIF(T566:U567,"a")</f>
        <v>0</v>
      </c>
      <c r="V568" s="17" t="s">
        <v>17</v>
      </c>
      <c r="W568" s="18">
        <f>COUNTIF(V566:W567,"✔")</f>
        <v>0</v>
      </c>
      <c r="X568" s="17" t="s">
        <v>18</v>
      </c>
      <c r="Y568" s="18">
        <f>COUNTIF(X566:Y567,"a")</f>
        <v>0</v>
      </c>
      <c r="Z568" s="8"/>
      <c r="AA568" s="8"/>
    </row>
    <row r="569" spans="1:27" ht="12.75">
      <c r="A569" s="8"/>
      <c r="B569" s="47" t="s">
        <v>204</v>
      </c>
      <c r="C569" s="48"/>
      <c r="D569" s="48"/>
      <c r="E569" s="49"/>
      <c r="F569" s="43"/>
      <c r="G569" s="43"/>
      <c r="H569" s="43"/>
      <c r="I569" s="43"/>
      <c r="J569" s="43"/>
      <c r="K569" s="45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8"/>
      <c r="AA569" s="8"/>
    </row>
    <row r="570" spans="1:27" ht="12.75">
      <c r="A570" s="8"/>
      <c r="B570" s="50"/>
      <c r="C570" s="51"/>
      <c r="D570" s="51"/>
      <c r="E570" s="52"/>
      <c r="F570" s="44"/>
      <c r="G570" s="44"/>
      <c r="H570" s="44"/>
      <c r="I570" s="44"/>
      <c r="J570" s="44"/>
      <c r="K570" s="36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8"/>
      <c r="AA570" s="8"/>
    </row>
    <row r="571" spans="1:27" ht="15">
      <c r="A571" s="8"/>
      <c r="B571" s="40"/>
      <c r="C571" s="41"/>
      <c r="D571" s="41"/>
      <c r="E571" s="42"/>
      <c r="F571" s="17" t="s">
        <v>17</v>
      </c>
      <c r="G571" s="18">
        <f>COUNTIF(F569:G570,"✔")</f>
        <v>0</v>
      </c>
      <c r="H571" s="17" t="s">
        <v>18</v>
      </c>
      <c r="I571" s="18">
        <f>COUNTIF(H569:I570,"a")</f>
        <v>0</v>
      </c>
      <c r="J571" s="17" t="s">
        <v>17</v>
      </c>
      <c r="K571" s="18">
        <f>COUNTIF(J569:K570,"✔")</f>
        <v>0</v>
      </c>
      <c r="L571" s="17" t="s">
        <v>18</v>
      </c>
      <c r="M571" s="18">
        <f>COUNTIF(L569:M570,"a")</f>
        <v>0</v>
      </c>
      <c r="N571" s="17" t="s">
        <v>17</v>
      </c>
      <c r="O571" s="18">
        <f>COUNTIF(N569:O570,"✔")</f>
        <v>0</v>
      </c>
      <c r="P571" s="17" t="s">
        <v>18</v>
      </c>
      <c r="Q571" s="18">
        <f>COUNTIF(P569:Q570,"a")</f>
        <v>0</v>
      </c>
      <c r="R571" s="17" t="s">
        <v>17</v>
      </c>
      <c r="S571" s="18">
        <f>COUNTIF(R569:S570,"✔")</f>
        <v>0</v>
      </c>
      <c r="T571" s="17" t="s">
        <v>18</v>
      </c>
      <c r="U571" s="18">
        <f>COUNTIF(T569:U570,"a")</f>
        <v>0</v>
      </c>
      <c r="V571" s="17" t="s">
        <v>17</v>
      </c>
      <c r="W571" s="18">
        <f>COUNTIF(V569:W570,"✔")</f>
        <v>0</v>
      </c>
      <c r="X571" s="17" t="s">
        <v>18</v>
      </c>
      <c r="Y571" s="18">
        <f>COUNTIF(X569:Y570,"a")</f>
        <v>0</v>
      </c>
      <c r="Z571" s="8"/>
      <c r="AA571" s="8"/>
    </row>
    <row r="572" spans="1:27" ht="12.75">
      <c r="A572" s="8"/>
      <c r="B572" s="47" t="s">
        <v>205</v>
      </c>
      <c r="C572" s="48"/>
      <c r="D572" s="48"/>
      <c r="E572" s="49"/>
      <c r="F572" s="43"/>
      <c r="G572" s="43"/>
      <c r="H572" s="43"/>
      <c r="I572" s="43"/>
      <c r="J572" s="43"/>
      <c r="K572" s="45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8"/>
      <c r="AA572" s="8"/>
    </row>
    <row r="573" spans="1:27" ht="12.75">
      <c r="A573" s="8"/>
      <c r="B573" s="50"/>
      <c r="C573" s="51"/>
      <c r="D573" s="51"/>
      <c r="E573" s="52"/>
      <c r="F573" s="44"/>
      <c r="G573" s="44"/>
      <c r="H573" s="44"/>
      <c r="I573" s="44"/>
      <c r="J573" s="44"/>
      <c r="K573" s="36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8"/>
      <c r="AA573" s="8"/>
    </row>
    <row r="574" spans="1:27" ht="15">
      <c r="A574" s="8"/>
      <c r="B574" s="40"/>
      <c r="C574" s="41"/>
      <c r="D574" s="41"/>
      <c r="E574" s="42"/>
      <c r="F574" s="17" t="s">
        <v>17</v>
      </c>
      <c r="G574" s="18">
        <f>COUNTIF(F572:G573,"✔")</f>
        <v>0</v>
      </c>
      <c r="H574" s="17" t="s">
        <v>18</v>
      </c>
      <c r="I574" s="18">
        <f>COUNTIF(H572:I573,"a")</f>
        <v>0</v>
      </c>
      <c r="J574" s="17" t="s">
        <v>17</v>
      </c>
      <c r="K574" s="18">
        <f>COUNTIF(J572:K573,"✔")</f>
        <v>0</v>
      </c>
      <c r="L574" s="17" t="s">
        <v>18</v>
      </c>
      <c r="M574" s="18">
        <f>COUNTIF(L572:M573,"a")</f>
        <v>0</v>
      </c>
      <c r="N574" s="17" t="s">
        <v>17</v>
      </c>
      <c r="O574" s="18">
        <f>COUNTIF(N572:O573,"✔")</f>
        <v>0</v>
      </c>
      <c r="P574" s="17" t="s">
        <v>18</v>
      </c>
      <c r="Q574" s="18">
        <f>COUNTIF(P572:Q573,"a")</f>
        <v>0</v>
      </c>
      <c r="R574" s="17" t="s">
        <v>17</v>
      </c>
      <c r="S574" s="18">
        <f>COUNTIF(R572:S573,"✔")</f>
        <v>0</v>
      </c>
      <c r="T574" s="17" t="s">
        <v>18</v>
      </c>
      <c r="U574" s="18">
        <f>COUNTIF(T572:U573,"a")</f>
        <v>0</v>
      </c>
      <c r="V574" s="17" t="s">
        <v>17</v>
      </c>
      <c r="W574" s="18">
        <f>COUNTIF(V572:W573,"✔")</f>
        <v>0</v>
      </c>
      <c r="X574" s="17" t="s">
        <v>18</v>
      </c>
      <c r="Y574" s="18">
        <f>COUNTIF(X572:Y573,"a")</f>
        <v>0</v>
      </c>
      <c r="Z574" s="8"/>
      <c r="AA574" s="8"/>
    </row>
    <row r="575" spans="1:27" ht="12.75">
      <c r="A575" s="8"/>
      <c r="B575" s="47" t="s">
        <v>206</v>
      </c>
      <c r="C575" s="48"/>
      <c r="D575" s="48"/>
      <c r="E575" s="49"/>
      <c r="F575" s="43"/>
      <c r="G575" s="43"/>
      <c r="H575" s="43"/>
      <c r="I575" s="43"/>
      <c r="J575" s="43"/>
      <c r="K575" s="45"/>
      <c r="L575" s="53"/>
      <c r="M575" s="43"/>
      <c r="N575" s="43"/>
      <c r="O575" s="43"/>
      <c r="P575" s="53"/>
      <c r="Q575" s="43"/>
      <c r="R575" s="43"/>
      <c r="S575" s="43"/>
      <c r="T575" s="43"/>
      <c r="U575" s="43"/>
      <c r="V575" s="43"/>
      <c r="W575" s="43"/>
      <c r="X575" s="43"/>
      <c r="Y575" s="43"/>
      <c r="Z575" s="8"/>
      <c r="AA575" s="8"/>
    </row>
    <row r="576" spans="1:27" ht="12.75">
      <c r="A576" s="8"/>
      <c r="B576" s="50"/>
      <c r="C576" s="51"/>
      <c r="D576" s="51"/>
      <c r="E576" s="52"/>
      <c r="F576" s="44"/>
      <c r="G576" s="44"/>
      <c r="H576" s="44"/>
      <c r="I576" s="44"/>
      <c r="J576" s="44"/>
      <c r="K576" s="36"/>
      <c r="L576" s="36"/>
      <c r="M576" s="44"/>
      <c r="N576" s="44"/>
      <c r="O576" s="44"/>
      <c r="P576" s="36"/>
      <c r="Q576" s="44"/>
      <c r="R576" s="44"/>
      <c r="S576" s="44"/>
      <c r="T576" s="44"/>
      <c r="U576" s="44"/>
      <c r="V576" s="44"/>
      <c r="W576" s="44"/>
      <c r="X576" s="44"/>
      <c r="Y576" s="44"/>
      <c r="Z576" s="8"/>
      <c r="AA576" s="8"/>
    </row>
    <row r="577" spans="1:27" ht="15">
      <c r="A577" s="8"/>
      <c r="B577" s="40"/>
      <c r="C577" s="41"/>
      <c r="D577" s="41"/>
      <c r="E577" s="42"/>
      <c r="F577" s="17" t="s">
        <v>17</v>
      </c>
      <c r="G577" s="18">
        <f>COUNTIF(F575:G576,"✔")</f>
        <v>0</v>
      </c>
      <c r="H577" s="17" t="s">
        <v>18</v>
      </c>
      <c r="I577" s="18">
        <f>COUNTIF(H575:I576,"a")</f>
        <v>0</v>
      </c>
      <c r="J577" s="17" t="s">
        <v>17</v>
      </c>
      <c r="K577" s="18">
        <f>COUNTIF(J575:K576,"✔")</f>
        <v>0</v>
      </c>
      <c r="L577" s="17" t="s">
        <v>18</v>
      </c>
      <c r="M577" s="18">
        <f>COUNTIF(L575:M576,"a")</f>
        <v>0</v>
      </c>
      <c r="N577" s="17" t="s">
        <v>17</v>
      </c>
      <c r="O577" s="18">
        <f>COUNTIF(N575:O576,"✔")</f>
        <v>0</v>
      </c>
      <c r="P577" s="17" t="s">
        <v>18</v>
      </c>
      <c r="Q577" s="18">
        <f>COUNTIF(P575:Q576,"a")</f>
        <v>0</v>
      </c>
      <c r="R577" s="17" t="s">
        <v>17</v>
      </c>
      <c r="S577" s="18">
        <f>COUNTIF(R575:S576,"✔")</f>
        <v>0</v>
      </c>
      <c r="T577" s="17" t="s">
        <v>18</v>
      </c>
      <c r="U577" s="18">
        <f>COUNTIF(T575:U576,"a")</f>
        <v>0</v>
      </c>
      <c r="V577" s="17" t="s">
        <v>17</v>
      </c>
      <c r="W577" s="18">
        <f>COUNTIF(V575:W576,"✔")</f>
        <v>0</v>
      </c>
      <c r="X577" s="17" t="s">
        <v>18</v>
      </c>
      <c r="Y577" s="18">
        <f>COUNTIF(X575:Y576,"a")</f>
        <v>0</v>
      </c>
      <c r="Z577" s="8"/>
      <c r="AA577" s="8"/>
    </row>
    <row r="578" spans="1:27" ht="12.75">
      <c r="A578" s="8"/>
      <c r="B578" s="47" t="s">
        <v>207</v>
      </c>
      <c r="C578" s="48"/>
      <c r="D578" s="48"/>
      <c r="E578" s="49"/>
      <c r="F578" s="43"/>
      <c r="G578" s="43"/>
      <c r="H578" s="43"/>
      <c r="I578" s="43"/>
      <c r="J578" s="43"/>
      <c r="K578" s="45"/>
      <c r="L578" s="53"/>
      <c r="M578" s="43"/>
      <c r="N578" s="43"/>
      <c r="O578" s="43"/>
      <c r="P578" s="53"/>
      <c r="Q578" s="43"/>
      <c r="R578" s="43"/>
      <c r="S578" s="43"/>
      <c r="T578" s="43"/>
      <c r="U578" s="43"/>
      <c r="V578" s="43"/>
      <c r="W578" s="43"/>
      <c r="X578" s="43"/>
      <c r="Y578" s="43"/>
      <c r="Z578" s="8"/>
      <c r="AA578" s="8"/>
    </row>
    <row r="579" spans="1:27" ht="12.75">
      <c r="A579" s="8"/>
      <c r="B579" s="50"/>
      <c r="C579" s="51"/>
      <c r="D579" s="51"/>
      <c r="E579" s="52"/>
      <c r="F579" s="44"/>
      <c r="G579" s="44"/>
      <c r="H579" s="44"/>
      <c r="I579" s="44"/>
      <c r="J579" s="44"/>
      <c r="K579" s="36"/>
      <c r="L579" s="36"/>
      <c r="M579" s="44"/>
      <c r="N579" s="44"/>
      <c r="O579" s="44"/>
      <c r="P579" s="36"/>
      <c r="Q579" s="44"/>
      <c r="R579" s="44"/>
      <c r="S579" s="44"/>
      <c r="T579" s="44"/>
      <c r="U579" s="44"/>
      <c r="V579" s="44"/>
      <c r="W579" s="44"/>
      <c r="X579" s="44"/>
      <c r="Y579" s="44"/>
      <c r="Z579" s="8"/>
      <c r="AA579" s="8"/>
    </row>
    <row r="580" spans="1:27" ht="15">
      <c r="A580" s="8"/>
      <c r="B580" s="40"/>
      <c r="C580" s="41"/>
      <c r="D580" s="41"/>
      <c r="E580" s="42"/>
      <c r="F580" s="17" t="s">
        <v>17</v>
      </c>
      <c r="G580" s="18">
        <f>COUNTIF(F578:G579,"✔")</f>
        <v>0</v>
      </c>
      <c r="H580" s="17" t="s">
        <v>18</v>
      </c>
      <c r="I580" s="18">
        <f>COUNTIF(H578:I579,"a")</f>
        <v>0</v>
      </c>
      <c r="J580" s="17" t="s">
        <v>17</v>
      </c>
      <c r="K580" s="18">
        <f>COUNTIF(J578:K579,"✔")</f>
        <v>0</v>
      </c>
      <c r="L580" s="17" t="s">
        <v>18</v>
      </c>
      <c r="M580" s="18">
        <f>COUNTIF(L578:M579,"a")</f>
        <v>0</v>
      </c>
      <c r="N580" s="17" t="s">
        <v>17</v>
      </c>
      <c r="O580" s="18">
        <f>COUNTIF(N578:O579,"✔")</f>
        <v>0</v>
      </c>
      <c r="P580" s="17" t="s">
        <v>18</v>
      </c>
      <c r="Q580" s="18">
        <f>COUNTIF(P578:Q579,"a")</f>
        <v>0</v>
      </c>
      <c r="R580" s="17" t="s">
        <v>17</v>
      </c>
      <c r="S580" s="18">
        <f>COUNTIF(R578:S579,"✔")</f>
        <v>0</v>
      </c>
      <c r="T580" s="17" t="s">
        <v>18</v>
      </c>
      <c r="U580" s="18">
        <f>COUNTIF(T578:U579,"a")</f>
        <v>0</v>
      </c>
      <c r="V580" s="17" t="s">
        <v>17</v>
      </c>
      <c r="W580" s="18">
        <f>COUNTIF(V578:W579,"✔")</f>
        <v>0</v>
      </c>
      <c r="X580" s="17" t="s">
        <v>18</v>
      </c>
      <c r="Y580" s="18">
        <f>COUNTIF(X578:Y579,"a")</f>
        <v>0</v>
      </c>
      <c r="Z580" s="8"/>
      <c r="AA580" s="8"/>
    </row>
    <row r="581" spans="1:27" ht="12.75">
      <c r="A581" s="8"/>
      <c r="B581" s="47" t="s">
        <v>208</v>
      </c>
      <c r="C581" s="48"/>
      <c r="D581" s="48"/>
      <c r="E581" s="49"/>
      <c r="F581" s="43"/>
      <c r="G581" s="43"/>
      <c r="H581" s="43"/>
      <c r="I581" s="43"/>
      <c r="J581" s="43"/>
      <c r="K581" s="45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8"/>
      <c r="AA581" s="8"/>
    </row>
    <row r="582" spans="1:27" ht="12.75">
      <c r="A582" s="8"/>
      <c r="B582" s="50"/>
      <c r="C582" s="51"/>
      <c r="D582" s="51"/>
      <c r="E582" s="52"/>
      <c r="F582" s="44"/>
      <c r="G582" s="44"/>
      <c r="H582" s="44"/>
      <c r="I582" s="44"/>
      <c r="J582" s="44"/>
      <c r="K582" s="36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8"/>
      <c r="AA582" s="8"/>
    </row>
    <row r="583" spans="1:27" ht="15">
      <c r="A583" s="8"/>
      <c r="B583" s="40"/>
      <c r="C583" s="41"/>
      <c r="D583" s="41"/>
      <c r="E583" s="42"/>
      <c r="F583" s="17" t="s">
        <v>17</v>
      </c>
      <c r="G583" s="18">
        <f>COUNTIF(F581:G582,"✔")</f>
        <v>0</v>
      </c>
      <c r="H583" s="17" t="s">
        <v>18</v>
      </c>
      <c r="I583" s="18">
        <f>COUNTIF(H581:I582,"a")</f>
        <v>0</v>
      </c>
      <c r="J583" s="17" t="s">
        <v>17</v>
      </c>
      <c r="K583" s="18">
        <f>COUNTIF(J581:K582,"✔")</f>
        <v>0</v>
      </c>
      <c r="L583" s="17" t="s">
        <v>18</v>
      </c>
      <c r="M583" s="18">
        <f>COUNTIF(L581:M582,"a")</f>
        <v>0</v>
      </c>
      <c r="N583" s="17" t="s">
        <v>17</v>
      </c>
      <c r="O583" s="18">
        <f>COUNTIF(N581:O582,"✔")</f>
        <v>0</v>
      </c>
      <c r="P583" s="17" t="s">
        <v>18</v>
      </c>
      <c r="Q583" s="18">
        <f>COUNTIF(P581:Q582,"a")</f>
        <v>0</v>
      </c>
      <c r="R583" s="17" t="s">
        <v>17</v>
      </c>
      <c r="S583" s="18">
        <f>COUNTIF(R581:S582,"✔")</f>
        <v>0</v>
      </c>
      <c r="T583" s="17" t="s">
        <v>18</v>
      </c>
      <c r="U583" s="18">
        <f>COUNTIF(T581:U582,"a")</f>
        <v>0</v>
      </c>
      <c r="V583" s="17" t="s">
        <v>17</v>
      </c>
      <c r="W583" s="18">
        <f>COUNTIF(V581:W582,"✔")</f>
        <v>0</v>
      </c>
      <c r="X583" s="17" t="s">
        <v>18</v>
      </c>
      <c r="Y583" s="18">
        <f>COUNTIF(X581:Y582,"a")</f>
        <v>0</v>
      </c>
      <c r="Z583" s="8"/>
      <c r="AA583" s="8"/>
    </row>
    <row r="584" spans="1:27" ht="12.75">
      <c r="A584" s="8"/>
      <c r="B584" s="47" t="s">
        <v>209</v>
      </c>
      <c r="C584" s="48"/>
      <c r="D584" s="48"/>
      <c r="E584" s="49"/>
      <c r="F584" s="43"/>
      <c r="G584" s="43"/>
      <c r="H584" s="43"/>
      <c r="I584" s="43"/>
      <c r="J584" s="43"/>
      <c r="K584" s="45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8"/>
      <c r="AA584" s="8"/>
    </row>
    <row r="585" spans="1:27" ht="12.75">
      <c r="A585" s="8"/>
      <c r="B585" s="50"/>
      <c r="C585" s="51"/>
      <c r="D585" s="51"/>
      <c r="E585" s="52"/>
      <c r="F585" s="44"/>
      <c r="G585" s="44"/>
      <c r="H585" s="44"/>
      <c r="I585" s="44"/>
      <c r="J585" s="44"/>
      <c r="K585" s="36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8"/>
      <c r="AA585" s="8"/>
    </row>
    <row r="586" spans="1:27" ht="15">
      <c r="A586" s="8"/>
      <c r="B586" s="40"/>
      <c r="C586" s="41"/>
      <c r="D586" s="41"/>
      <c r="E586" s="42"/>
      <c r="F586" s="17" t="s">
        <v>17</v>
      </c>
      <c r="G586" s="18">
        <f>COUNTIF(F584:G585,"✔")</f>
        <v>0</v>
      </c>
      <c r="H586" s="17" t="s">
        <v>18</v>
      </c>
      <c r="I586" s="18">
        <f>COUNTIF(H584:I585,"a")</f>
        <v>0</v>
      </c>
      <c r="J586" s="17" t="s">
        <v>17</v>
      </c>
      <c r="K586" s="18">
        <f>COUNTIF(J584:K585,"✔")</f>
        <v>0</v>
      </c>
      <c r="L586" s="17" t="s">
        <v>18</v>
      </c>
      <c r="M586" s="18">
        <f>COUNTIF(L584:M585,"a")</f>
        <v>0</v>
      </c>
      <c r="N586" s="17" t="s">
        <v>17</v>
      </c>
      <c r="O586" s="18">
        <f>COUNTIF(N584:O585,"✔")</f>
        <v>0</v>
      </c>
      <c r="P586" s="17" t="s">
        <v>18</v>
      </c>
      <c r="Q586" s="18">
        <f>COUNTIF(P584:Q585,"a")</f>
        <v>0</v>
      </c>
      <c r="R586" s="17" t="s">
        <v>17</v>
      </c>
      <c r="S586" s="18">
        <f>COUNTIF(R584:S585,"✔")</f>
        <v>0</v>
      </c>
      <c r="T586" s="17" t="s">
        <v>18</v>
      </c>
      <c r="U586" s="18">
        <f>COUNTIF(T584:U585,"a")</f>
        <v>0</v>
      </c>
      <c r="V586" s="17" t="s">
        <v>17</v>
      </c>
      <c r="W586" s="18">
        <f>COUNTIF(V584:W585,"✔")</f>
        <v>0</v>
      </c>
      <c r="X586" s="17" t="s">
        <v>18</v>
      </c>
      <c r="Y586" s="18">
        <f>COUNTIF(X584:Y585,"a")</f>
        <v>0</v>
      </c>
      <c r="Z586" s="8"/>
      <c r="AA586" s="8"/>
    </row>
    <row r="587" spans="1:27" ht="12.75">
      <c r="A587" s="8"/>
      <c r="B587" s="47" t="s">
        <v>210</v>
      </c>
      <c r="C587" s="48"/>
      <c r="D587" s="48"/>
      <c r="E587" s="49"/>
      <c r="F587" s="43"/>
      <c r="G587" s="43"/>
      <c r="H587" s="43"/>
      <c r="I587" s="43"/>
      <c r="J587" s="43"/>
      <c r="K587" s="45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8"/>
      <c r="AA587" s="8"/>
    </row>
    <row r="588" spans="1:27" ht="12.75">
      <c r="A588" s="8"/>
      <c r="B588" s="50"/>
      <c r="C588" s="51"/>
      <c r="D588" s="51"/>
      <c r="E588" s="52"/>
      <c r="F588" s="44"/>
      <c r="G588" s="44"/>
      <c r="H588" s="44"/>
      <c r="I588" s="44"/>
      <c r="J588" s="44"/>
      <c r="K588" s="36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8"/>
      <c r="AA588" s="8"/>
    </row>
    <row r="589" spans="1:27" ht="15">
      <c r="A589" s="8"/>
      <c r="B589" s="40"/>
      <c r="C589" s="41"/>
      <c r="D589" s="41"/>
      <c r="E589" s="42"/>
      <c r="F589" s="17" t="s">
        <v>17</v>
      </c>
      <c r="G589" s="18">
        <f>COUNTIF(F587:G588,"✔")</f>
        <v>0</v>
      </c>
      <c r="H589" s="17" t="s">
        <v>18</v>
      </c>
      <c r="I589" s="18">
        <f>COUNTIF(H587:I588,"a")</f>
        <v>0</v>
      </c>
      <c r="J589" s="17" t="s">
        <v>17</v>
      </c>
      <c r="K589" s="18">
        <f>COUNTIF(J587:K588,"✔")</f>
        <v>0</v>
      </c>
      <c r="L589" s="17" t="s">
        <v>18</v>
      </c>
      <c r="M589" s="18">
        <f>COUNTIF(L587:M588,"a")</f>
        <v>0</v>
      </c>
      <c r="N589" s="17" t="s">
        <v>17</v>
      </c>
      <c r="O589" s="18">
        <f>COUNTIF(N587:O588,"✔")</f>
        <v>0</v>
      </c>
      <c r="P589" s="17" t="s">
        <v>18</v>
      </c>
      <c r="Q589" s="18">
        <f>COUNTIF(P587:Q588,"a")</f>
        <v>0</v>
      </c>
      <c r="R589" s="17" t="s">
        <v>17</v>
      </c>
      <c r="S589" s="18">
        <f>COUNTIF(R587:S588,"✔")</f>
        <v>0</v>
      </c>
      <c r="T589" s="17" t="s">
        <v>18</v>
      </c>
      <c r="U589" s="18">
        <f>COUNTIF(T587:U588,"a")</f>
        <v>0</v>
      </c>
      <c r="V589" s="17" t="s">
        <v>17</v>
      </c>
      <c r="W589" s="18">
        <f>COUNTIF(V587:W588,"✔")</f>
        <v>0</v>
      </c>
      <c r="X589" s="17" t="s">
        <v>18</v>
      </c>
      <c r="Y589" s="18">
        <f>COUNTIF(X587:Y588,"a")</f>
        <v>0</v>
      </c>
      <c r="Z589" s="8"/>
      <c r="AA589" s="8"/>
    </row>
    <row r="590" spans="1:27" ht="12.75">
      <c r="A590" s="8"/>
      <c r="B590" s="47" t="s">
        <v>211</v>
      </c>
      <c r="C590" s="48"/>
      <c r="D590" s="48"/>
      <c r="E590" s="49"/>
      <c r="F590" s="43"/>
      <c r="G590" s="43"/>
      <c r="H590" s="43"/>
      <c r="I590" s="43"/>
      <c r="J590" s="43"/>
      <c r="K590" s="45"/>
      <c r="L590" s="53"/>
      <c r="M590" s="43"/>
      <c r="N590" s="43"/>
      <c r="O590" s="43"/>
      <c r="P590" s="57"/>
      <c r="Q590" s="43"/>
      <c r="R590" s="43"/>
      <c r="S590" s="43"/>
      <c r="T590" s="43"/>
      <c r="U590" s="43"/>
      <c r="V590" s="43"/>
      <c r="W590" s="43"/>
      <c r="X590" s="43"/>
      <c r="Y590" s="43"/>
      <c r="Z590" s="8"/>
      <c r="AA590" s="8"/>
    </row>
    <row r="591" spans="1:27" ht="12.75">
      <c r="A591" s="8"/>
      <c r="B591" s="50"/>
      <c r="C591" s="51"/>
      <c r="D591" s="51"/>
      <c r="E591" s="52"/>
      <c r="F591" s="44"/>
      <c r="G591" s="44"/>
      <c r="H591" s="44"/>
      <c r="I591" s="44"/>
      <c r="J591" s="44"/>
      <c r="K591" s="36"/>
      <c r="L591" s="36"/>
      <c r="M591" s="44"/>
      <c r="N591" s="44"/>
      <c r="O591" s="44"/>
      <c r="P591" s="36"/>
      <c r="Q591" s="44"/>
      <c r="R591" s="44"/>
      <c r="S591" s="44"/>
      <c r="T591" s="44"/>
      <c r="U591" s="44"/>
      <c r="V591" s="44"/>
      <c r="W591" s="44"/>
      <c r="X591" s="44"/>
      <c r="Y591" s="44"/>
      <c r="Z591" s="8"/>
      <c r="AA591" s="8"/>
    </row>
    <row r="592" spans="1:27" ht="15">
      <c r="A592" s="8"/>
      <c r="B592" s="40"/>
      <c r="C592" s="41"/>
      <c r="D592" s="41"/>
      <c r="E592" s="42"/>
      <c r="F592" s="17" t="s">
        <v>17</v>
      </c>
      <c r="G592" s="18">
        <f>COUNTIF(F590:G591,"✔")</f>
        <v>0</v>
      </c>
      <c r="H592" s="17" t="s">
        <v>18</v>
      </c>
      <c r="I592" s="18">
        <f>COUNTIF(H590:I591,"a")</f>
        <v>0</v>
      </c>
      <c r="J592" s="17" t="s">
        <v>17</v>
      </c>
      <c r="K592" s="18">
        <f>COUNTIF(J590:K591,"✔")</f>
        <v>0</v>
      </c>
      <c r="L592" s="17" t="s">
        <v>18</v>
      </c>
      <c r="M592" s="18">
        <f>COUNTIF(L590:M591,"a")</f>
        <v>0</v>
      </c>
      <c r="N592" s="17" t="s">
        <v>17</v>
      </c>
      <c r="O592" s="18">
        <f>COUNTIF(N590:O591,"✔")</f>
        <v>0</v>
      </c>
      <c r="P592" s="17" t="s">
        <v>18</v>
      </c>
      <c r="Q592" s="18">
        <f>COUNTIF(P590:Q591,"a")</f>
        <v>0</v>
      </c>
      <c r="R592" s="17" t="s">
        <v>17</v>
      </c>
      <c r="S592" s="18">
        <f>COUNTIF(R590:S591,"✔")</f>
        <v>0</v>
      </c>
      <c r="T592" s="17" t="s">
        <v>18</v>
      </c>
      <c r="U592" s="18">
        <f>COUNTIF(T590:U591,"a")</f>
        <v>0</v>
      </c>
      <c r="V592" s="17" t="s">
        <v>17</v>
      </c>
      <c r="W592" s="18">
        <f>COUNTIF(V590:W591,"✔")</f>
        <v>0</v>
      </c>
      <c r="X592" s="17" t="s">
        <v>18</v>
      </c>
      <c r="Y592" s="18">
        <f>COUNTIF(X590:Y591,"a")</f>
        <v>0</v>
      </c>
      <c r="Z592" s="8"/>
      <c r="AA592" s="8"/>
    </row>
    <row r="593" spans="1:27" ht="12.75">
      <c r="A593" s="8"/>
      <c r="B593" s="47" t="s">
        <v>212</v>
      </c>
      <c r="C593" s="48"/>
      <c r="D593" s="48"/>
      <c r="E593" s="49"/>
      <c r="F593" s="43"/>
      <c r="G593" s="43"/>
      <c r="H593" s="43"/>
      <c r="I593" s="43"/>
      <c r="J593" s="43"/>
      <c r="K593" s="45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8"/>
      <c r="AA593" s="8"/>
    </row>
    <row r="594" spans="1:27" ht="12.75">
      <c r="A594" s="8"/>
      <c r="B594" s="50"/>
      <c r="C594" s="51"/>
      <c r="D594" s="51"/>
      <c r="E594" s="52"/>
      <c r="F594" s="44"/>
      <c r="G594" s="44"/>
      <c r="H594" s="44"/>
      <c r="I594" s="44"/>
      <c r="J594" s="44"/>
      <c r="K594" s="36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8"/>
      <c r="AA594" s="8"/>
    </row>
    <row r="595" spans="1:27" ht="15">
      <c r="A595" s="8"/>
      <c r="B595" s="40"/>
      <c r="C595" s="41"/>
      <c r="D595" s="41"/>
      <c r="E595" s="42"/>
      <c r="F595" s="17" t="s">
        <v>17</v>
      </c>
      <c r="G595" s="18">
        <f>COUNTIF(F593:G594,"✔")</f>
        <v>0</v>
      </c>
      <c r="H595" s="17" t="s">
        <v>18</v>
      </c>
      <c r="I595" s="18">
        <f>COUNTIF(H593:I594,"a")</f>
        <v>0</v>
      </c>
      <c r="J595" s="17" t="s">
        <v>17</v>
      </c>
      <c r="K595" s="18">
        <f>COUNTIF(J593:K594,"✔")</f>
        <v>0</v>
      </c>
      <c r="L595" s="17" t="s">
        <v>18</v>
      </c>
      <c r="M595" s="18">
        <f>COUNTIF(L593:M594,"a")</f>
        <v>0</v>
      </c>
      <c r="N595" s="17" t="s">
        <v>17</v>
      </c>
      <c r="O595" s="18">
        <f>COUNTIF(N593:O594,"✔")</f>
        <v>0</v>
      </c>
      <c r="P595" s="17" t="s">
        <v>18</v>
      </c>
      <c r="Q595" s="18">
        <f>COUNTIF(P593:Q594,"a")</f>
        <v>0</v>
      </c>
      <c r="R595" s="17" t="s">
        <v>17</v>
      </c>
      <c r="S595" s="18">
        <f>COUNTIF(R593:S594,"✔")</f>
        <v>0</v>
      </c>
      <c r="T595" s="17" t="s">
        <v>18</v>
      </c>
      <c r="U595" s="18">
        <f>COUNTIF(T593:U594,"a")</f>
        <v>0</v>
      </c>
      <c r="V595" s="17" t="s">
        <v>17</v>
      </c>
      <c r="W595" s="18">
        <f>COUNTIF(V593:W594,"✔")</f>
        <v>0</v>
      </c>
      <c r="X595" s="17" t="s">
        <v>18</v>
      </c>
      <c r="Y595" s="18">
        <f>COUNTIF(X593:Y594,"a")</f>
        <v>0</v>
      </c>
      <c r="Z595" s="8"/>
      <c r="AA595" s="8"/>
    </row>
    <row r="596" spans="1:27" ht="12.75">
      <c r="A596" s="8"/>
      <c r="B596" s="47" t="s">
        <v>213</v>
      </c>
      <c r="C596" s="48"/>
      <c r="D596" s="48"/>
      <c r="E596" s="49"/>
      <c r="F596" s="43"/>
      <c r="G596" s="43"/>
      <c r="H596" s="43"/>
      <c r="I596" s="43"/>
      <c r="J596" s="43"/>
      <c r="K596" s="45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8"/>
      <c r="AA596" s="8"/>
    </row>
    <row r="597" spans="1:27" ht="12.75">
      <c r="A597" s="8"/>
      <c r="B597" s="50"/>
      <c r="C597" s="51"/>
      <c r="D597" s="51"/>
      <c r="E597" s="52"/>
      <c r="F597" s="44"/>
      <c r="G597" s="44"/>
      <c r="H597" s="44"/>
      <c r="I597" s="44"/>
      <c r="J597" s="44"/>
      <c r="K597" s="36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8"/>
      <c r="AA597" s="8"/>
    </row>
    <row r="598" spans="1:27" ht="15">
      <c r="A598" s="8"/>
      <c r="B598" s="40"/>
      <c r="C598" s="41"/>
      <c r="D598" s="41"/>
      <c r="E598" s="42"/>
      <c r="F598" s="17" t="s">
        <v>17</v>
      </c>
      <c r="G598" s="18">
        <f>COUNTIF(F596:G597,"✔")</f>
        <v>0</v>
      </c>
      <c r="H598" s="17" t="s">
        <v>18</v>
      </c>
      <c r="I598" s="18">
        <f>COUNTIF(H596:I597,"a")</f>
        <v>0</v>
      </c>
      <c r="J598" s="17" t="s">
        <v>17</v>
      </c>
      <c r="K598" s="18">
        <f>COUNTIF(J596:K597,"✔")</f>
        <v>0</v>
      </c>
      <c r="L598" s="17" t="s">
        <v>18</v>
      </c>
      <c r="M598" s="18">
        <f>COUNTIF(L596:M597,"a")</f>
        <v>0</v>
      </c>
      <c r="N598" s="17" t="s">
        <v>17</v>
      </c>
      <c r="O598" s="18">
        <f>COUNTIF(N596:O597,"✔")</f>
        <v>0</v>
      </c>
      <c r="P598" s="17" t="s">
        <v>18</v>
      </c>
      <c r="Q598" s="18">
        <f>COUNTIF(P596:Q597,"a")</f>
        <v>0</v>
      </c>
      <c r="R598" s="17" t="s">
        <v>17</v>
      </c>
      <c r="S598" s="18">
        <f>COUNTIF(R596:S597,"✔")</f>
        <v>0</v>
      </c>
      <c r="T598" s="17" t="s">
        <v>18</v>
      </c>
      <c r="U598" s="18">
        <f>COUNTIF(T596:U597,"a")</f>
        <v>0</v>
      </c>
      <c r="V598" s="17" t="s">
        <v>17</v>
      </c>
      <c r="W598" s="18">
        <f>COUNTIF(V596:W597,"✔")</f>
        <v>0</v>
      </c>
      <c r="X598" s="17" t="s">
        <v>18</v>
      </c>
      <c r="Y598" s="18">
        <f>COUNTIF(X596:Y597,"a")</f>
        <v>0</v>
      </c>
      <c r="Z598" s="8"/>
      <c r="AA598" s="8"/>
    </row>
    <row r="599" spans="1:27" ht="12.75">
      <c r="A599" s="8"/>
      <c r="B599" s="47" t="s">
        <v>214</v>
      </c>
      <c r="C599" s="48"/>
      <c r="D599" s="48"/>
      <c r="E599" s="49"/>
      <c r="F599" s="43"/>
      <c r="G599" s="43"/>
      <c r="H599" s="43"/>
      <c r="I599" s="43"/>
      <c r="J599" s="43"/>
      <c r="K599" s="45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8"/>
      <c r="AA599" s="8"/>
    </row>
    <row r="600" spans="1:27" ht="12.75">
      <c r="A600" s="8"/>
      <c r="B600" s="50"/>
      <c r="C600" s="51"/>
      <c r="D600" s="51"/>
      <c r="E600" s="52"/>
      <c r="F600" s="44"/>
      <c r="G600" s="44"/>
      <c r="H600" s="44"/>
      <c r="I600" s="44"/>
      <c r="J600" s="44"/>
      <c r="K600" s="36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8"/>
      <c r="AA600" s="8"/>
    </row>
    <row r="601" spans="1:27" ht="15">
      <c r="A601" s="8"/>
      <c r="B601" s="40"/>
      <c r="C601" s="41"/>
      <c r="D601" s="41"/>
      <c r="E601" s="42"/>
      <c r="F601" s="17" t="s">
        <v>17</v>
      </c>
      <c r="G601" s="18">
        <f>COUNTIF(F599:G600,"✔")</f>
        <v>0</v>
      </c>
      <c r="H601" s="17" t="s">
        <v>18</v>
      </c>
      <c r="I601" s="18">
        <f>COUNTIF(H599:I600,"a")</f>
        <v>0</v>
      </c>
      <c r="J601" s="17" t="s">
        <v>17</v>
      </c>
      <c r="K601" s="18">
        <f>COUNTIF(J599:K600,"✔")</f>
        <v>0</v>
      </c>
      <c r="L601" s="17" t="s">
        <v>18</v>
      </c>
      <c r="M601" s="18">
        <f>COUNTIF(L599:M600,"a")</f>
        <v>0</v>
      </c>
      <c r="N601" s="17" t="s">
        <v>17</v>
      </c>
      <c r="O601" s="18">
        <f>COUNTIF(N599:O600,"✔")</f>
        <v>0</v>
      </c>
      <c r="P601" s="17" t="s">
        <v>18</v>
      </c>
      <c r="Q601" s="18">
        <f>COUNTIF(P599:Q600,"a")</f>
        <v>0</v>
      </c>
      <c r="R601" s="17" t="s">
        <v>17</v>
      </c>
      <c r="S601" s="18">
        <f>COUNTIF(R599:S600,"✔")</f>
        <v>0</v>
      </c>
      <c r="T601" s="17" t="s">
        <v>18</v>
      </c>
      <c r="U601" s="18">
        <f>COUNTIF(T599:U600,"a")</f>
        <v>0</v>
      </c>
      <c r="V601" s="17" t="s">
        <v>17</v>
      </c>
      <c r="W601" s="18">
        <f>COUNTIF(V599:W600,"✔")</f>
        <v>0</v>
      </c>
      <c r="X601" s="17" t="s">
        <v>18</v>
      </c>
      <c r="Y601" s="18">
        <f>COUNTIF(X599:Y600,"a")</f>
        <v>0</v>
      </c>
      <c r="Z601" s="8"/>
      <c r="AA601" s="8"/>
    </row>
    <row r="602" spans="1:27" ht="12.75">
      <c r="A602" s="8"/>
      <c r="B602" s="47" t="s">
        <v>215</v>
      </c>
      <c r="C602" s="48"/>
      <c r="D602" s="48"/>
      <c r="E602" s="49"/>
      <c r="F602" s="43"/>
      <c r="G602" s="43"/>
      <c r="H602" s="43"/>
      <c r="I602" s="43"/>
      <c r="J602" s="43"/>
      <c r="K602" s="45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8"/>
      <c r="AA602" s="8"/>
    </row>
    <row r="603" spans="1:27" ht="12.75">
      <c r="A603" s="8"/>
      <c r="B603" s="50"/>
      <c r="C603" s="51"/>
      <c r="D603" s="51"/>
      <c r="E603" s="52"/>
      <c r="F603" s="44"/>
      <c r="G603" s="44"/>
      <c r="H603" s="44"/>
      <c r="I603" s="44"/>
      <c r="J603" s="44"/>
      <c r="K603" s="36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8"/>
      <c r="AA603" s="8"/>
    </row>
    <row r="604" spans="1:27" ht="15">
      <c r="A604" s="8"/>
      <c r="B604" s="40"/>
      <c r="C604" s="41"/>
      <c r="D604" s="41"/>
      <c r="E604" s="42"/>
      <c r="F604" s="17" t="s">
        <v>17</v>
      </c>
      <c r="G604" s="18">
        <f>COUNTIF(F602:G603,"✔")</f>
        <v>0</v>
      </c>
      <c r="H604" s="17" t="s">
        <v>18</v>
      </c>
      <c r="I604" s="18">
        <f>COUNTIF(H602:I603,"a")</f>
        <v>0</v>
      </c>
      <c r="J604" s="17" t="s">
        <v>17</v>
      </c>
      <c r="K604" s="18">
        <f>COUNTIF(J602:K603,"✔")</f>
        <v>0</v>
      </c>
      <c r="L604" s="17" t="s">
        <v>18</v>
      </c>
      <c r="M604" s="18">
        <f>COUNTIF(L602:M603,"a")</f>
        <v>0</v>
      </c>
      <c r="N604" s="17" t="s">
        <v>17</v>
      </c>
      <c r="O604" s="18">
        <f>COUNTIF(N602:O603,"✔")</f>
        <v>0</v>
      </c>
      <c r="P604" s="17" t="s">
        <v>18</v>
      </c>
      <c r="Q604" s="18">
        <f>COUNTIF(P602:Q603,"a")</f>
        <v>0</v>
      </c>
      <c r="R604" s="17" t="s">
        <v>17</v>
      </c>
      <c r="S604" s="18">
        <f>COUNTIF(R602:S603,"✔")</f>
        <v>0</v>
      </c>
      <c r="T604" s="17" t="s">
        <v>18</v>
      </c>
      <c r="U604" s="18">
        <f>COUNTIF(T602:U603,"a")</f>
        <v>0</v>
      </c>
      <c r="V604" s="17" t="s">
        <v>17</v>
      </c>
      <c r="W604" s="18">
        <f>COUNTIF(V602:W603,"✔")</f>
        <v>0</v>
      </c>
      <c r="X604" s="17" t="s">
        <v>18</v>
      </c>
      <c r="Y604" s="18">
        <f>COUNTIF(X602:Y603,"a")</f>
        <v>0</v>
      </c>
      <c r="Z604" s="8"/>
      <c r="AA604" s="8"/>
    </row>
    <row r="605" spans="1:27" ht="12.75">
      <c r="A605" s="21"/>
      <c r="B605" s="54" t="s">
        <v>216</v>
      </c>
      <c r="C605" s="48"/>
      <c r="D605" s="48"/>
      <c r="E605" s="49"/>
      <c r="F605" s="60"/>
      <c r="G605" s="60"/>
      <c r="H605" s="60"/>
      <c r="I605" s="60"/>
      <c r="J605" s="60"/>
      <c r="K605" s="61"/>
      <c r="L605" s="53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21"/>
      <c r="AA605" s="21"/>
    </row>
    <row r="606" spans="1:27" ht="12.75">
      <c r="A606" s="21"/>
      <c r="B606" s="50"/>
      <c r="C606" s="51"/>
      <c r="D606" s="51"/>
      <c r="E606" s="52"/>
      <c r="F606" s="44"/>
      <c r="G606" s="44"/>
      <c r="H606" s="44"/>
      <c r="I606" s="44"/>
      <c r="J606" s="44"/>
      <c r="K606" s="36"/>
      <c r="L606" s="36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21"/>
      <c r="AA606" s="21"/>
    </row>
    <row r="607" spans="1:27" ht="15">
      <c r="A607" s="21"/>
      <c r="B607" s="59"/>
      <c r="C607" s="41"/>
      <c r="D607" s="41"/>
      <c r="E607" s="42"/>
      <c r="F607" s="22" t="s">
        <v>17</v>
      </c>
      <c r="G607" s="23">
        <f>COUNTIF(F605:G606,"✔")</f>
        <v>0</v>
      </c>
      <c r="H607" s="22" t="s">
        <v>18</v>
      </c>
      <c r="I607" s="23">
        <f>COUNTIF(H605:I606,"a")</f>
        <v>0</v>
      </c>
      <c r="J607" s="22" t="s">
        <v>17</v>
      </c>
      <c r="K607" s="23">
        <f>COUNTIF(J605:K606,"✔")</f>
        <v>0</v>
      </c>
      <c r="L607" s="22" t="s">
        <v>18</v>
      </c>
      <c r="M607" s="23">
        <f>COUNTIF(L605:M606,"a")</f>
        <v>0</v>
      </c>
      <c r="N607" s="22" t="s">
        <v>17</v>
      </c>
      <c r="O607" s="23">
        <f>COUNTIF(N605:O606,"✔")</f>
        <v>0</v>
      </c>
      <c r="P607" s="22" t="s">
        <v>18</v>
      </c>
      <c r="Q607" s="23">
        <f>COUNTIF(P605:Q606,"a")</f>
        <v>0</v>
      </c>
      <c r="R607" s="22" t="s">
        <v>17</v>
      </c>
      <c r="S607" s="23">
        <f>COUNTIF(R605:S606,"✔")</f>
        <v>0</v>
      </c>
      <c r="T607" s="22" t="s">
        <v>18</v>
      </c>
      <c r="U607" s="23">
        <f>COUNTIF(T605:U606,"a")</f>
        <v>0</v>
      </c>
      <c r="V607" s="22" t="s">
        <v>17</v>
      </c>
      <c r="W607" s="23">
        <f>COUNTIF(V605:W606,"✔")</f>
        <v>0</v>
      </c>
      <c r="X607" s="22" t="s">
        <v>18</v>
      </c>
      <c r="Y607" s="23">
        <f>COUNTIF(X605:Y606,"a")</f>
        <v>0</v>
      </c>
      <c r="Z607" s="21"/>
      <c r="AA607" s="21"/>
    </row>
    <row r="608" spans="1:27" ht="12.75">
      <c r="A608" s="21"/>
      <c r="B608" s="54" t="s">
        <v>217</v>
      </c>
      <c r="C608" s="48"/>
      <c r="D608" s="48"/>
      <c r="E608" s="49"/>
      <c r="F608" s="60"/>
      <c r="G608" s="60"/>
      <c r="H608" s="60"/>
      <c r="I608" s="60"/>
      <c r="J608" s="60"/>
      <c r="K608" s="61"/>
      <c r="L608" s="53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21"/>
      <c r="AA608" s="21"/>
    </row>
    <row r="609" spans="1:27" ht="12.75">
      <c r="A609" s="21"/>
      <c r="B609" s="50"/>
      <c r="C609" s="51"/>
      <c r="D609" s="51"/>
      <c r="E609" s="52"/>
      <c r="F609" s="44"/>
      <c r="G609" s="44"/>
      <c r="H609" s="44"/>
      <c r="I609" s="44"/>
      <c r="J609" s="44"/>
      <c r="K609" s="36"/>
      <c r="L609" s="36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21"/>
      <c r="AA609" s="21"/>
    </row>
    <row r="610" spans="1:27" ht="15">
      <c r="A610" s="21"/>
      <c r="B610" s="59"/>
      <c r="C610" s="41"/>
      <c r="D610" s="41"/>
      <c r="E610" s="42"/>
      <c r="F610" s="22" t="s">
        <v>17</v>
      </c>
      <c r="G610" s="23">
        <f>COUNTIF(F608:G609,"✔")</f>
        <v>0</v>
      </c>
      <c r="H610" s="22" t="s">
        <v>18</v>
      </c>
      <c r="I610" s="23">
        <f>COUNTIF(H608:I609,"a")</f>
        <v>0</v>
      </c>
      <c r="J610" s="22" t="s">
        <v>17</v>
      </c>
      <c r="K610" s="23">
        <f>COUNTIF(J608:K609,"✔")</f>
        <v>0</v>
      </c>
      <c r="L610" s="22" t="s">
        <v>18</v>
      </c>
      <c r="M610" s="23">
        <f>COUNTIF(L608:M609,"a")</f>
        <v>0</v>
      </c>
      <c r="N610" s="22" t="s">
        <v>17</v>
      </c>
      <c r="O610" s="23">
        <f>COUNTIF(N608:O609,"✔")</f>
        <v>0</v>
      </c>
      <c r="P610" s="22" t="s">
        <v>18</v>
      </c>
      <c r="Q610" s="23">
        <f>COUNTIF(P608:Q609,"a")</f>
        <v>0</v>
      </c>
      <c r="R610" s="22" t="s">
        <v>17</v>
      </c>
      <c r="S610" s="23">
        <f>COUNTIF(R608:S609,"✔")</f>
        <v>0</v>
      </c>
      <c r="T610" s="22" t="s">
        <v>18</v>
      </c>
      <c r="U610" s="23">
        <f>COUNTIF(T608:U609,"a")</f>
        <v>0</v>
      </c>
      <c r="V610" s="22" t="s">
        <v>17</v>
      </c>
      <c r="W610" s="23">
        <f>COUNTIF(V608:W609,"✔")</f>
        <v>0</v>
      </c>
      <c r="X610" s="22" t="s">
        <v>18</v>
      </c>
      <c r="Y610" s="23">
        <f>COUNTIF(X608:Y609,"a")</f>
        <v>0</v>
      </c>
      <c r="Z610" s="21"/>
      <c r="AA610" s="21"/>
    </row>
    <row r="611" spans="1:27" ht="22.5">
      <c r="A611" s="21"/>
      <c r="B611" s="54" t="s">
        <v>218</v>
      </c>
      <c r="C611" s="48"/>
      <c r="D611" s="48"/>
      <c r="E611" s="49"/>
      <c r="F611" s="60"/>
      <c r="G611" s="60"/>
      <c r="H611" s="15" t="s">
        <v>9</v>
      </c>
      <c r="I611" s="60"/>
      <c r="J611" s="60"/>
      <c r="K611" s="61"/>
      <c r="L611" s="15" t="s">
        <v>9</v>
      </c>
      <c r="M611" s="60"/>
      <c r="N611" s="60"/>
      <c r="O611" s="60"/>
      <c r="P611" s="53"/>
      <c r="Q611" s="60"/>
      <c r="R611" s="60"/>
      <c r="S611" s="60"/>
      <c r="T611" s="60"/>
      <c r="U611" s="60"/>
      <c r="V611" s="60"/>
      <c r="W611" s="60"/>
      <c r="X611" s="60"/>
      <c r="Y611" s="60"/>
      <c r="Z611" s="21"/>
      <c r="AA611" s="21"/>
    </row>
    <row r="612" spans="1:27" ht="22.5">
      <c r="A612" s="21"/>
      <c r="B612" s="50"/>
      <c r="C612" s="51"/>
      <c r="D612" s="51"/>
      <c r="E612" s="52"/>
      <c r="F612" s="44"/>
      <c r="G612" s="44"/>
      <c r="H612" s="13"/>
      <c r="I612" s="44"/>
      <c r="J612" s="44"/>
      <c r="K612" s="36"/>
      <c r="L612" s="13"/>
      <c r="M612" s="44"/>
      <c r="N612" s="44"/>
      <c r="O612" s="44"/>
      <c r="P612" s="36"/>
      <c r="Q612" s="44"/>
      <c r="R612" s="44"/>
      <c r="S612" s="44"/>
      <c r="T612" s="44"/>
      <c r="U612" s="44"/>
      <c r="V612" s="44"/>
      <c r="W612" s="44"/>
      <c r="X612" s="44"/>
      <c r="Y612" s="44"/>
      <c r="Z612" s="21"/>
      <c r="AA612" s="21"/>
    </row>
    <row r="613" spans="1:27" ht="15">
      <c r="A613" s="21"/>
      <c r="B613" s="59"/>
      <c r="C613" s="41"/>
      <c r="D613" s="41"/>
      <c r="E613" s="42"/>
      <c r="F613" s="22" t="s">
        <v>17</v>
      </c>
      <c r="G613" s="23">
        <f>COUNTIF(F611:G612,"✔")</f>
        <v>0</v>
      </c>
      <c r="H613" s="22" t="s">
        <v>18</v>
      </c>
      <c r="I613" s="23">
        <f>COUNTIF(H611:I612,"a")</f>
        <v>1</v>
      </c>
      <c r="J613" s="22" t="s">
        <v>17</v>
      </c>
      <c r="K613" s="23">
        <f>COUNTIF(J611:K612,"✔")</f>
        <v>0</v>
      </c>
      <c r="L613" s="22" t="s">
        <v>18</v>
      </c>
      <c r="M613" s="23">
        <f>COUNTIF(L611:M612,"a")</f>
        <v>1</v>
      </c>
      <c r="N613" s="22" t="s">
        <v>17</v>
      </c>
      <c r="O613" s="23">
        <f>COUNTIF(N611:O612,"✔")</f>
        <v>0</v>
      </c>
      <c r="P613" s="22" t="s">
        <v>18</v>
      </c>
      <c r="Q613" s="23">
        <f>COUNTIF(P611:Q612,"a")</f>
        <v>0</v>
      </c>
      <c r="R613" s="22" t="s">
        <v>17</v>
      </c>
      <c r="S613" s="23">
        <f>COUNTIF(R611:S612,"✔")</f>
        <v>0</v>
      </c>
      <c r="T613" s="22" t="s">
        <v>18</v>
      </c>
      <c r="U613" s="23">
        <f>COUNTIF(T611:U612,"a")</f>
        <v>0</v>
      </c>
      <c r="V613" s="22" t="s">
        <v>17</v>
      </c>
      <c r="W613" s="23">
        <f>COUNTIF(V611:W612,"✔")</f>
        <v>0</v>
      </c>
      <c r="X613" s="22" t="s">
        <v>18</v>
      </c>
      <c r="Y613" s="23">
        <f>COUNTIF(X611:Y612,"a")</f>
        <v>0</v>
      </c>
      <c r="Z613" s="21"/>
      <c r="AA613" s="21"/>
    </row>
    <row r="614" spans="1:27" ht="12.75">
      <c r="A614" s="8"/>
      <c r="B614" s="47" t="s">
        <v>219</v>
      </c>
      <c r="C614" s="48"/>
      <c r="D614" s="48"/>
      <c r="E614" s="49"/>
      <c r="F614" s="43"/>
      <c r="G614" s="43"/>
      <c r="H614" s="43"/>
      <c r="I614" s="43"/>
      <c r="J614" s="43"/>
      <c r="K614" s="45"/>
      <c r="L614" s="43"/>
      <c r="M614" s="43"/>
      <c r="N614" s="43"/>
      <c r="O614" s="43"/>
      <c r="P614" s="53"/>
      <c r="Q614" s="43"/>
      <c r="R614" s="43"/>
      <c r="S614" s="43"/>
      <c r="T614" s="43"/>
      <c r="U614" s="43"/>
      <c r="V614" s="43"/>
      <c r="W614" s="43"/>
      <c r="X614" s="43"/>
      <c r="Y614" s="43"/>
      <c r="Z614" s="8"/>
      <c r="AA614" s="8"/>
    </row>
    <row r="615" spans="1:27" ht="12.75">
      <c r="A615" s="8"/>
      <c r="B615" s="50"/>
      <c r="C615" s="51"/>
      <c r="D615" s="51"/>
      <c r="E615" s="52"/>
      <c r="F615" s="44"/>
      <c r="G615" s="44"/>
      <c r="H615" s="44"/>
      <c r="I615" s="44"/>
      <c r="J615" s="44"/>
      <c r="K615" s="36"/>
      <c r="L615" s="44"/>
      <c r="M615" s="44"/>
      <c r="N615" s="44"/>
      <c r="O615" s="44"/>
      <c r="P615" s="36"/>
      <c r="Q615" s="44"/>
      <c r="R615" s="44"/>
      <c r="S615" s="44"/>
      <c r="T615" s="44"/>
      <c r="U615" s="44"/>
      <c r="V615" s="44"/>
      <c r="W615" s="44"/>
      <c r="X615" s="44"/>
      <c r="Y615" s="44"/>
      <c r="Z615" s="8"/>
      <c r="AA615" s="8"/>
    </row>
    <row r="616" spans="1:27" ht="15">
      <c r="A616" s="8"/>
      <c r="B616" s="40"/>
      <c r="C616" s="41"/>
      <c r="D616" s="41"/>
      <c r="E616" s="42"/>
      <c r="F616" s="17" t="s">
        <v>17</v>
      </c>
      <c r="G616" s="18">
        <f>COUNTIF(F614:G615,"✔")</f>
        <v>0</v>
      </c>
      <c r="H616" s="17" t="s">
        <v>18</v>
      </c>
      <c r="I616" s="18">
        <f>COUNTIF(H614:I615,"a")</f>
        <v>0</v>
      </c>
      <c r="J616" s="17" t="s">
        <v>17</v>
      </c>
      <c r="K616" s="18">
        <f>COUNTIF(J614:K615,"✔")</f>
        <v>0</v>
      </c>
      <c r="L616" s="17" t="s">
        <v>18</v>
      </c>
      <c r="M616" s="18">
        <f>COUNTIF(L614:M615,"a")</f>
        <v>0</v>
      </c>
      <c r="N616" s="17" t="s">
        <v>17</v>
      </c>
      <c r="O616" s="18">
        <f>COUNTIF(N614:O615,"✔")</f>
        <v>0</v>
      </c>
      <c r="P616" s="17" t="s">
        <v>18</v>
      </c>
      <c r="Q616" s="18">
        <f>COUNTIF(P614:Q615,"a")</f>
        <v>0</v>
      </c>
      <c r="R616" s="17" t="s">
        <v>17</v>
      </c>
      <c r="S616" s="18">
        <f>COUNTIF(R614:S615,"✔")</f>
        <v>0</v>
      </c>
      <c r="T616" s="17" t="s">
        <v>18</v>
      </c>
      <c r="U616" s="18">
        <f>COUNTIF(T614:U615,"a")</f>
        <v>0</v>
      </c>
      <c r="V616" s="17" t="s">
        <v>17</v>
      </c>
      <c r="W616" s="18">
        <f>COUNTIF(V614:W615,"✔")</f>
        <v>0</v>
      </c>
      <c r="X616" s="17" t="s">
        <v>18</v>
      </c>
      <c r="Y616" s="18">
        <f>COUNTIF(X614:Y615,"a")</f>
        <v>0</v>
      </c>
      <c r="Z616" s="8"/>
      <c r="AA616" s="8"/>
    </row>
    <row r="617" spans="1:27" ht="12.75">
      <c r="A617" s="8"/>
      <c r="B617" s="47" t="s">
        <v>220</v>
      </c>
      <c r="C617" s="48"/>
      <c r="D617" s="48"/>
      <c r="E617" s="49"/>
      <c r="F617" s="43"/>
      <c r="G617" s="43"/>
      <c r="H617" s="43"/>
      <c r="I617" s="43"/>
      <c r="J617" s="43"/>
      <c r="K617" s="45"/>
      <c r="L617" s="53"/>
      <c r="M617" s="43"/>
      <c r="N617" s="43"/>
      <c r="O617" s="43"/>
      <c r="P617" s="53"/>
      <c r="Q617" s="43"/>
      <c r="R617" s="43"/>
      <c r="S617" s="43"/>
      <c r="T617" s="43"/>
      <c r="U617" s="43"/>
      <c r="V617" s="43"/>
      <c r="W617" s="43"/>
      <c r="X617" s="43"/>
      <c r="Y617" s="43"/>
      <c r="Z617" s="8"/>
      <c r="AA617" s="8"/>
    </row>
    <row r="618" spans="1:27" ht="12.75">
      <c r="A618" s="8"/>
      <c r="B618" s="50"/>
      <c r="C618" s="51"/>
      <c r="D618" s="51"/>
      <c r="E618" s="52"/>
      <c r="F618" s="44"/>
      <c r="G618" s="44"/>
      <c r="H618" s="44"/>
      <c r="I618" s="44"/>
      <c r="J618" s="44"/>
      <c r="K618" s="36"/>
      <c r="L618" s="36"/>
      <c r="M618" s="44"/>
      <c r="N618" s="44"/>
      <c r="O618" s="44"/>
      <c r="P618" s="36"/>
      <c r="Q618" s="44"/>
      <c r="R618" s="44"/>
      <c r="S618" s="44"/>
      <c r="T618" s="44"/>
      <c r="U618" s="44"/>
      <c r="V618" s="44"/>
      <c r="W618" s="44"/>
      <c r="X618" s="44"/>
      <c r="Y618" s="44"/>
      <c r="Z618" s="8"/>
      <c r="AA618" s="8"/>
    </row>
    <row r="619" spans="1:27" ht="15">
      <c r="A619" s="8"/>
      <c r="B619" s="40"/>
      <c r="C619" s="41"/>
      <c r="D619" s="41"/>
      <c r="E619" s="42"/>
      <c r="F619" s="17" t="s">
        <v>17</v>
      </c>
      <c r="G619" s="18">
        <f>COUNTIF(F617:G618,"✔")</f>
        <v>0</v>
      </c>
      <c r="H619" s="17" t="s">
        <v>18</v>
      </c>
      <c r="I619" s="18">
        <f>COUNTIF(H617:I618,"a")</f>
        <v>0</v>
      </c>
      <c r="J619" s="17" t="s">
        <v>17</v>
      </c>
      <c r="K619" s="18">
        <f>COUNTIF(J617:K618,"✔")</f>
        <v>0</v>
      </c>
      <c r="L619" s="17" t="s">
        <v>18</v>
      </c>
      <c r="M619" s="18">
        <f>COUNTIF(L617:M618,"a")</f>
        <v>0</v>
      </c>
      <c r="N619" s="17" t="s">
        <v>17</v>
      </c>
      <c r="O619" s="18">
        <f>COUNTIF(N617:O618,"✔")</f>
        <v>0</v>
      </c>
      <c r="P619" s="17" t="s">
        <v>18</v>
      </c>
      <c r="Q619" s="18">
        <f>COUNTIF(P617:Q618,"a")</f>
        <v>0</v>
      </c>
      <c r="R619" s="17" t="s">
        <v>17</v>
      </c>
      <c r="S619" s="18">
        <f>COUNTIF(R617:S618,"✔")</f>
        <v>0</v>
      </c>
      <c r="T619" s="17" t="s">
        <v>18</v>
      </c>
      <c r="U619" s="18">
        <f>COUNTIF(T617:U618,"a")</f>
        <v>0</v>
      </c>
      <c r="V619" s="17" t="s">
        <v>17</v>
      </c>
      <c r="W619" s="18">
        <f>COUNTIF(V617:W618,"✔")</f>
        <v>0</v>
      </c>
      <c r="X619" s="17" t="s">
        <v>18</v>
      </c>
      <c r="Y619" s="18">
        <f>COUNTIF(X617:Y618,"a")</f>
        <v>0</v>
      </c>
      <c r="Z619" s="8"/>
      <c r="AA619" s="8"/>
    </row>
    <row r="620" spans="1:27" ht="12.75">
      <c r="A620" s="8"/>
      <c r="B620" s="47" t="s">
        <v>221</v>
      </c>
      <c r="C620" s="48"/>
      <c r="D620" s="48"/>
      <c r="E620" s="49"/>
      <c r="F620" s="43"/>
      <c r="G620" s="43"/>
      <c r="H620" s="43"/>
      <c r="I620" s="43"/>
      <c r="J620" s="43"/>
      <c r="K620" s="45"/>
      <c r="L620" s="53"/>
      <c r="M620" s="43"/>
      <c r="N620" s="43"/>
      <c r="O620" s="43"/>
      <c r="P620" s="53"/>
      <c r="Q620" s="43"/>
      <c r="R620" s="43"/>
      <c r="S620" s="43"/>
      <c r="T620" s="43"/>
      <c r="U620" s="43"/>
      <c r="V620" s="43"/>
      <c r="W620" s="43"/>
      <c r="X620" s="43"/>
      <c r="Y620" s="43"/>
      <c r="Z620" s="8"/>
      <c r="AA620" s="8"/>
    </row>
    <row r="621" spans="1:27" ht="12.75">
      <c r="A621" s="8"/>
      <c r="B621" s="50"/>
      <c r="C621" s="51"/>
      <c r="D621" s="51"/>
      <c r="E621" s="52"/>
      <c r="F621" s="44"/>
      <c r="G621" s="44"/>
      <c r="H621" s="44"/>
      <c r="I621" s="44"/>
      <c r="J621" s="44"/>
      <c r="K621" s="36"/>
      <c r="L621" s="36"/>
      <c r="M621" s="44"/>
      <c r="N621" s="44"/>
      <c r="O621" s="44"/>
      <c r="P621" s="36"/>
      <c r="Q621" s="44"/>
      <c r="R621" s="44"/>
      <c r="S621" s="44"/>
      <c r="T621" s="44"/>
      <c r="U621" s="44"/>
      <c r="V621" s="44"/>
      <c r="W621" s="44"/>
      <c r="X621" s="44"/>
      <c r="Y621" s="44"/>
      <c r="Z621" s="8"/>
      <c r="AA621" s="8"/>
    </row>
    <row r="622" spans="1:27" ht="15">
      <c r="A622" s="8"/>
      <c r="B622" s="40"/>
      <c r="C622" s="41"/>
      <c r="D622" s="41"/>
      <c r="E622" s="42"/>
      <c r="F622" s="17" t="s">
        <v>17</v>
      </c>
      <c r="G622" s="18">
        <f>COUNTIF(F620:G621,"✔")</f>
        <v>0</v>
      </c>
      <c r="H622" s="17" t="s">
        <v>18</v>
      </c>
      <c r="I622" s="18">
        <f>COUNTIF(H620:I621,"a")</f>
        <v>0</v>
      </c>
      <c r="J622" s="17" t="s">
        <v>17</v>
      </c>
      <c r="K622" s="18">
        <f>COUNTIF(J620:K621,"✔")</f>
        <v>0</v>
      </c>
      <c r="L622" s="17" t="s">
        <v>18</v>
      </c>
      <c r="M622" s="18">
        <f>COUNTIF(L620:M621,"a")</f>
        <v>0</v>
      </c>
      <c r="N622" s="17" t="s">
        <v>17</v>
      </c>
      <c r="O622" s="18">
        <f>COUNTIF(N620:O621,"✔")</f>
        <v>0</v>
      </c>
      <c r="P622" s="17" t="s">
        <v>18</v>
      </c>
      <c r="Q622" s="18">
        <f>COUNTIF(P620:Q621,"a")</f>
        <v>0</v>
      </c>
      <c r="R622" s="17" t="s">
        <v>17</v>
      </c>
      <c r="S622" s="18">
        <f>COUNTIF(R620:S621,"✔")</f>
        <v>0</v>
      </c>
      <c r="T622" s="17" t="s">
        <v>18</v>
      </c>
      <c r="U622" s="18">
        <f>COUNTIF(T620:U621,"a")</f>
        <v>0</v>
      </c>
      <c r="V622" s="17" t="s">
        <v>17</v>
      </c>
      <c r="W622" s="18">
        <f>COUNTIF(V620:W621,"✔")</f>
        <v>0</v>
      </c>
      <c r="X622" s="17" t="s">
        <v>18</v>
      </c>
      <c r="Y622" s="18">
        <f>COUNTIF(X620:Y621,"a")</f>
        <v>0</v>
      </c>
      <c r="Z622" s="8"/>
      <c r="AA622" s="8"/>
    </row>
    <row r="623" spans="1:27" ht="12.75">
      <c r="A623" s="8"/>
      <c r="B623" s="47" t="s">
        <v>222</v>
      </c>
      <c r="C623" s="48"/>
      <c r="D623" s="48"/>
      <c r="E623" s="49"/>
      <c r="F623" s="43"/>
      <c r="G623" s="43"/>
      <c r="H623" s="43"/>
      <c r="I623" s="43"/>
      <c r="J623" s="43"/>
      <c r="K623" s="45"/>
      <c r="L623" s="43"/>
      <c r="M623" s="43"/>
      <c r="N623" s="43"/>
      <c r="O623" s="43"/>
      <c r="P623" s="53"/>
      <c r="Q623" s="43"/>
      <c r="R623" s="43"/>
      <c r="S623" s="43"/>
      <c r="T623" s="43"/>
      <c r="U623" s="43"/>
      <c r="V623" s="43"/>
      <c r="W623" s="43"/>
      <c r="X623" s="43"/>
      <c r="Y623" s="43"/>
      <c r="Z623" s="8"/>
      <c r="AA623" s="8"/>
    </row>
    <row r="624" spans="1:27" ht="12.75">
      <c r="A624" s="8"/>
      <c r="B624" s="50"/>
      <c r="C624" s="51"/>
      <c r="D624" s="51"/>
      <c r="E624" s="52"/>
      <c r="F624" s="44"/>
      <c r="G624" s="44"/>
      <c r="H624" s="44"/>
      <c r="I624" s="44"/>
      <c r="J624" s="44"/>
      <c r="K624" s="36"/>
      <c r="L624" s="44"/>
      <c r="M624" s="44"/>
      <c r="N624" s="44"/>
      <c r="O624" s="44"/>
      <c r="P624" s="36"/>
      <c r="Q624" s="44"/>
      <c r="R624" s="44"/>
      <c r="S624" s="44"/>
      <c r="T624" s="44"/>
      <c r="U624" s="44"/>
      <c r="V624" s="44"/>
      <c r="W624" s="44"/>
      <c r="X624" s="44"/>
      <c r="Y624" s="44"/>
      <c r="Z624" s="8"/>
      <c r="AA624" s="8"/>
    </row>
    <row r="625" spans="1:27" ht="15">
      <c r="A625" s="8"/>
      <c r="B625" s="40"/>
      <c r="C625" s="41"/>
      <c r="D625" s="41"/>
      <c r="E625" s="42"/>
      <c r="F625" s="17" t="s">
        <v>17</v>
      </c>
      <c r="G625" s="18">
        <f>COUNTIF(F623:G624,"✔")</f>
        <v>0</v>
      </c>
      <c r="H625" s="17" t="s">
        <v>18</v>
      </c>
      <c r="I625" s="18">
        <f>COUNTIF(H623:I624,"a")</f>
        <v>0</v>
      </c>
      <c r="J625" s="17" t="s">
        <v>17</v>
      </c>
      <c r="K625" s="18">
        <f>COUNTIF(J623:K624,"✔")</f>
        <v>0</v>
      </c>
      <c r="L625" s="17" t="s">
        <v>18</v>
      </c>
      <c r="M625" s="18">
        <f>COUNTIF(L623:M624,"a")</f>
        <v>0</v>
      </c>
      <c r="N625" s="17" t="s">
        <v>17</v>
      </c>
      <c r="O625" s="18">
        <f>COUNTIF(N623:O624,"✔")</f>
        <v>0</v>
      </c>
      <c r="P625" s="17" t="s">
        <v>18</v>
      </c>
      <c r="Q625" s="18">
        <f>COUNTIF(P623:Q624,"a")</f>
        <v>0</v>
      </c>
      <c r="R625" s="17" t="s">
        <v>17</v>
      </c>
      <c r="S625" s="18">
        <f>COUNTIF(R623:S624,"✔")</f>
        <v>0</v>
      </c>
      <c r="T625" s="17" t="s">
        <v>18</v>
      </c>
      <c r="U625" s="18">
        <f>COUNTIF(T623:U624,"a")</f>
        <v>0</v>
      </c>
      <c r="V625" s="17" t="s">
        <v>17</v>
      </c>
      <c r="W625" s="18">
        <f>COUNTIF(V623:W624,"✔")</f>
        <v>0</v>
      </c>
      <c r="X625" s="17" t="s">
        <v>18</v>
      </c>
      <c r="Y625" s="18">
        <f>COUNTIF(X623:Y624,"a")</f>
        <v>0</v>
      </c>
      <c r="Z625" s="8"/>
      <c r="AA625" s="8"/>
    </row>
    <row r="626" spans="1:27" ht="12.75">
      <c r="A626" s="8"/>
      <c r="B626" s="47" t="s">
        <v>223</v>
      </c>
      <c r="C626" s="48"/>
      <c r="D626" s="48"/>
      <c r="E626" s="49"/>
      <c r="F626" s="43"/>
      <c r="G626" s="43"/>
      <c r="H626" s="43"/>
      <c r="I626" s="43"/>
      <c r="J626" s="43"/>
      <c r="K626" s="45"/>
      <c r="L626" s="53"/>
      <c r="M626" s="43"/>
      <c r="N626" s="43"/>
      <c r="O626" s="43"/>
      <c r="P626" s="53"/>
      <c r="Q626" s="43"/>
      <c r="R626" s="43"/>
      <c r="S626" s="43"/>
      <c r="T626" s="43"/>
      <c r="U626" s="43"/>
      <c r="V626" s="43"/>
      <c r="W626" s="43"/>
      <c r="X626" s="43"/>
      <c r="Y626" s="43"/>
      <c r="Z626" s="8"/>
      <c r="AA626" s="8"/>
    </row>
    <row r="627" spans="1:27" ht="12.75">
      <c r="A627" s="8"/>
      <c r="B627" s="50"/>
      <c r="C627" s="51"/>
      <c r="D627" s="51"/>
      <c r="E627" s="52"/>
      <c r="F627" s="44"/>
      <c r="G627" s="44"/>
      <c r="H627" s="44"/>
      <c r="I627" s="44"/>
      <c r="J627" s="44"/>
      <c r="K627" s="36"/>
      <c r="L627" s="36"/>
      <c r="M627" s="44"/>
      <c r="N627" s="44"/>
      <c r="O627" s="44"/>
      <c r="P627" s="36"/>
      <c r="Q627" s="44"/>
      <c r="R627" s="44"/>
      <c r="S627" s="44"/>
      <c r="T627" s="44"/>
      <c r="U627" s="44"/>
      <c r="V627" s="44"/>
      <c r="W627" s="44"/>
      <c r="X627" s="44"/>
      <c r="Y627" s="44"/>
      <c r="Z627" s="8"/>
      <c r="AA627" s="8"/>
    </row>
    <row r="628" spans="1:27" ht="15">
      <c r="A628" s="8"/>
      <c r="B628" s="40"/>
      <c r="C628" s="41"/>
      <c r="D628" s="41"/>
      <c r="E628" s="42"/>
      <c r="F628" s="17" t="s">
        <v>17</v>
      </c>
      <c r="G628" s="18">
        <f>COUNTIF(F626:G627,"✔")</f>
        <v>0</v>
      </c>
      <c r="H628" s="17" t="s">
        <v>18</v>
      </c>
      <c r="I628" s="18">
        <f>COUNTIF(H626:I627,"a")</f>
        <v>0</v>
      </c>
      <c r="J628" s="17" t="s">
        <v>17</v>
      </c>
      <c r="K628" s="18">
        <f>COUNTIF(J626:K627,"✔")</f>
        <v>0</v>
      </c>
      <c r="L628" s="17" t="s">
        <v>18</v>
      </c>
      <c r="M628" s="18">
        <f>COUNTIF(L626:M627,"a")</f>
        <v>0</v>
      </c>
      <c r="N628" s="17" t="s">
        <v>17</v>
      </c>
      <c r="O628" s="18">
        <f>COUNTIF(N626:O627,"✔")</f>
        <v>0</v>
      </c>
      <c r="P628" s="17" t="s">
        <v>18</v>
      </c>
      <c r="Q628" s="18">
        <f>COUNTIF(P626:Q627,"a")</f>
        <v>0</v>
      </c>
      <c r="R628" s="17" t="s">
        <v>17</v>
      </c>
      <c r="S628" s="18">
        <f>COUNTIF(R626:S627,"✔")</f>
        <v>0</v>
      </c>
      <c r="T628" s="17" t="s">
        <v>18</v>
      </c>
      <c r="U628" s="18">
        <f>COUNTIF(T626:U627,"a")</f>
        <v>0</v>
      </c>
      <c r="V628" s="17" t="s">
        <v>17</v>
      </c>
      <c r="W628" s="18">
        <f>COUNTIF(V626:W627,"✔")</f>
        <v>0</v>
      </c>
      <c r="X628" s="17" t="s">
        <v>18</v>
      </c>
      <c r="Y628" s="18">
        <f>COUNTIF(X626:Y627,"a")</f>
        <v>0</v>
      </c>
      <c r="Z628" s="8"/>
      <c r="AA628" s="8"/>
    </row>
    <row r="629" spans="1:27" ht="12.75">
      <c r="A629" s="8"/>
      <c r="B629" s="47" t="s">
        <v>148</v>
      </c>
      <c r="C629" s="48"/>
      <c r="D629" s="48"/>
      <c r="E629" s="49"/>
      <c r="F629" s="43"/>
      <c r="G629" s="43"/>
      <c r="H629" s="43"/>
      <c r="I629" s="43"/>
      <c r="J629" s="43"/>
      <c r="K629" s="45"/>
      <c r="L629" s="43"/>
      <c r="M629" s="43"/>
      <c r="N629" s="43"/>
      <c r="O629" s="43"/>
      <c r="P629" s="53"/>
      <c r="Q629" s="43"/>
      <c r="R629" s="43"/>
      <c r="S629" s="43"/>
      <c r="T629" s="43"/>
      <c r="U629" s="43"/>
      <c r="V629" s="43"/>
      <c r="W629" s="43"/>
      <c r="X629" s="43"/>
      <c r="Y629" s="43"/>
      <c r="Z629" s="8"/>
      <c r="AA629" s="8"/>
    </row>
    <row r="630" spans="1:27" ht="12.75">
      <c r="A630" s="8"/>
      <c r="B630" s="50"/>
      <c r="C630" s="51"/>
      <c r="D630" s="51"/>
      <c r="E630" s="52"/>
      <c r="F630" s="44"/>
      <c r="G630" s="44"/>
      <c r="H630" s="44"/>
      <c r="I630" s="44"/>
      <c r="J630" s="44"/>
      <c r="K630" s="36"/>
      <c r="L630" s="44"/>
      <c r="M630" s="44"/>
      <c r="N630" s="44"/>
      <c r="O630" s="44"/>
      <c r="P630" s="36"/>
      <c r="Q630" s="44"/>
      <c r="R630" s="44"/>
      <c r="S630" s="44"/>
      <c r="T630" s="44"/>
      <c r="U630" s="44"/>
      <c r="V630" s="44"/>
      <c r="W630" s="44"/>
      <c r="X630" s="44"/>
      <c r="Y630" s="44"/>
      <c r="Z630" s="8"/>
      <c r="AA630" s="8"/>
    </row>
    <row r="631" spans="1:27" ht="15">
      <c r="A631" s="8"/>
      <c r="B631" s="40"/>
      <c r="C631" s="41"/>
      <c r="D631" s="41"/>
      <c r="E631" s="42"/>
      <c r="F631" s="17" t="s">
        <v>17</v>
      </c>
      <c r="G631" s="18">
        <f>COUNTIF(F629:G630,"✔")</f>
        <v>0</v>
      </c>
      <c r="H631" s="17" t="s">
        <v>18</v>
      </c>
      <c r="I631" s="18">
        <f>COUNTIF(H629:I630,"a")</f>
        <v>0</v>
      </c>
      <c r="J631" s="17" t="s">
        <v>17</v>
      </c>
      <c r="K631" s="18">
        <f>COUNTIF(J629:K630,"✔")</f>
        <v>0</v>
      </c>
      <c r="L631" s="17" t="s">
        <v>18</v>
      </c>
      <c r="M631" s="18">
        <f>COUNTIF(L629:M630,"a")</f>
        <v>0</v>
      </c>
      <c r="N631" s="17" t="s">
        <v>17</v>
      </c>
      <c r="O631" s="18">
        <f>COUNTIF(N629:O630,"✔")</f>
        <v>0</v>
      </c>
      <c r="P631" s="17" t="s">
        <v>18</v>
      </c>
      <c r="Q631" s="18">
        <f>COUNTIF(P629:Q630,"a")</f>
        <v>0</v>
      </c>
      <c r="R631" s="17" t="s">
        <v>17</v>
      </c>
      <c r="S631" s="18">
        <f>COUNTIF(R629:S630,"✔")</f>
        <v>0</v>
      </c>
      <c r="T631" s="17" t="s">
        <v>18</v>
      </c>
      <c r="U631" s="18">
        <f>COUNTIF(T629:U630,"a")</f>
        <v>0</v>
      </c>
      <c r="V631" s="17" t="s">
        <v>17</v>
      </c>
      <c r="W631" s="18">
        <f>COUNTIF(V629:W630,"✔")</f>
        <v>0</v>
      </c>
      <c r="X631" s="17" t="s">
        <v>18</v>
      </c>
      <c r="Y631" s="18">
        <f>COUNTIF(X629:Y630,"a")</f>
        <v>0</v>
      </c>
      <c r="Z631" s="8"/>
      <c r="AA631" s="8"/>
    </row>
    <row r="632" spans="1:27" ht="12.75">
      <c r="A632" s="8"/>
      <c r="B632" s="47" t="s">
        <v>224</v>
      </c>
      <c r="C632" s="48"/>
      <c r="D632" s="48"/>
      <c r="E632" s="49"/>
      <c r="F632" s="43"/>
      <c r="G632" s="43"/>
      <c r="H632" s="43"/>
      <c r="I632" s="43"/>
      <c r="J632" s="43"/>
      <c r="K632" s="45"/>
      <c r="L632" s="43"/>
      <c r="M632" s="43"/>
      <c r="N632" s="43"/>
      <c r="O632" s="43"/>
      <c r="P632" s="53"/>
      <c r="Q632" s="43"/>
      <c r="R632" s="43"/>
      <c r="S632" s="43"/>
      <c r="T632" s="43"/>
      <c r="U632" s="43"/>
      <c r="V632" s="43"/>
      <c r="W632" s="43"/>
      <c r="X632" s="43"/>
      <c r="Y632" s="43"/>
      <c r="Z632" s="8"/>
      <c r="AA632" s="8"/>
    </row>
    <row r="633" spans="1:27" ht="12.75">
      <c r="A633" s="8"/>
      <c r="B633" s="50"/>
      <c r="C633" s="51"/>
      <c r="D633" s="51"/>
      <c r="E633" s="52"/>
      <c r="F633" s="44"/>
      <c r="G633" s="44"/>
      <c r="H633" s="44"/>
      <c r="I633" s="44"/>
      <c r="J633" s="44"/>
      <c r="K633" s="36"/>
      <c r="L633" s="44"/>
      <c r="M633" s="44"/>
      <c r="N633" s="44"/>
      <c r="O633" s="44"/>
      <c r="P633" s="36"/>
      <c r="Q633" s="44"/>
      <c r="R633" s="44"/>
      <c r="S633" s="44"/>
      <c r="T633" s="44"/>
      <c r="U633" s="44"/>
      <c r="V633" s="44"/>
      <c r="W633" s="44"/>
      <c r="X633" s="44"/>
      <c r="Y633" s="44"/>
      <c r="Z633" s="8"/>
      <c r="AA633" s="8"/>
    </row>
    <row r="634" spans="1:27" ht="15">
      <c r="A634" s="8"/>
      <c r="B634" s="16"/>
      <c r="C634" s="24"/>
      <c r="D634" s="24"/>
      <c r="E634" s="25"/>
      <c r="F634" s="17" t="s">
        <v>17</v>
      </c>
      <c r="G634" s="18">
        <f>COUNTIF(F632:G633,"✔")</f>
        <v>0</v>
      </c>
      <c r="H634" s="17" t="s">
        <v>18</v>
      </c>
      <c r="I634" s="18">
        <f>COUNTIF(H632:I633,"a")</f>
        <v>0</v>
      </c>
      <c r="J634" s="17" t="s">
        <v>17</v>
      </c>
      <c r="K634" s="18">
        <f>COUNTIF(J632:K633,"✔")</f>
        <v>0</v>
      </c>
      <c r="L634" s="17" t="s">
        <v>18</v>
      </c>
      <c r="M634" s="18">
        <f>COUNTIF(L632:M633,"a")</f>
        <v>0</v>
      </c>
      <c r="N634" s="17" t="s">
        <v>17</v>
      </c>
      <c r="O634" s="18">
        <f>COUNTIF(N632:O633,"✔")</f>
        <v>0</v>
      </c>
      <c r="P634" s="17" t="s">
        <v>18</v>
      </c>
      <c r="Q634" s="18">
        <f>COUNTIF(P632:Q633,"a")</f>
        <v>0</v>
      </c>
      <c r="R634" s="17" t="s">
        <v>17</v>
      </c>
      <c r="S634" s="18">
        <f>COUNTIF(R632:S633,"✔")</f>
        <v>0</v>
      </c>
      <c r="T634" s="17" t="s">
        <v>18</v>
      </c>
      <c r="U634" s="18">
        <f>COUNTIF(T632:U633,"a")</f>
        <v>0</v>
      </c>
      <c r="V634" s="17" t="s">
        <v>17</v>
      </c>
      <c r="W634" s="18">
        <f>COUNTIF(V632:W633,"✔")</f>
        <v>0</v>
      </c>
      <c r="X634" s="17" t="s">
        <v>18</v>
      </c>
      <c r="Y634" s="18">
        <f>COUNTIF(X632:Y633,"a")</f>
        <v>0</v>
      </c>
      <c r="Z634" s="8"/>
      <c r="AA634" s="8"/>
    </row>
    <row r="635" spans="1:27" ht="12.75">
      <c r="A635" s="8"/>
      <c r="B635" s="47" t="s">
        <v>225</v>
      </c>
      <c r="C635" s="48"/>
      <c r="D635" s="48"/>
      <c r="E635" s="49"/>
      <c r="F635" s="43"/>
      <c r="G635" s="43"/>
      <c r="H635" s="43"/>
      <c r="I635" s="43"/>
      <c r="J635" s="43"/>
      <c r="K635" s="45"/>
      <c r="L635" s="43"/>
      <c r="M635" s="43"/>
      <c r="N635" s="43"/>
      <c r="O635" s="43"/>
      <c r="P635" s="53"/>
      <c r="Q635" s="43"/>
      <c r="R635" s="43"/>
      <c r="S635" s="43"/>
      <c r="T635" s="43"/>
      <c r="U635" s="43"/>
      <c r="V635" s="43"/>
      <c r="W635" s="43"/>
      <c r="X635" s="43"/>
      <c r="Y635" s="43"/>
      <c r="Z635" s="8"/>
      <c r="AA635" s="8"/>
    </row>
    <row r="636" spans="1:27" ht="12.75">
      <c r="A636" s="8"/>
      <c r="B636" s="50"/>
      <c r="C636" s="51"/>
      <c r="D636" s="51"/>
      <c r="E636" s="52"/>
      <c r="F636" s="44"/>
      <c r="G636" s="44"/>
      <c r="H636" s="44"/>
      <c r="I636" s="44"/>
      <c r="J636" s="44"/>
      <c r="K636" s="36"/>
      <c r="L636" s="44"/>
      <c r="M636" s="44"/>
      <c r="N636" s="44"/>
      <c r="O636" s="44"/>
      <c r="P636" s="36"/>
      <c r="Q636" s="44"/>
      <c r="R636" s="44"/>
      <c r="S636" s="44"/>
      <c r="T636" s="44"/>
      <c r="U636" s="44"/>
      <c r="V636" s="44"/>
      <c r="W636" s="44"/>
      <c r="X636" s="44"/>
      <c r="Y636" s="44"/>
      <c r="Z636" s="8"/>
      <c r="AA636" s="8"/>
    </row>
    <row r="637" spans="1:27" ht="15">
      <c r="A637" s="8"/>
      <c r="B637" s="16"/>
      <c r="C637" s="24"/>
      <c r="D637" s="24"/>
      <c r="E637" s="25"/>
      <c r="F637" s="17" t="s">
        <v>17</v>
      </c>
      <c r="G637" s="18">
        <f>COUNTIF(F635:G636,"✔")</f>
        <v>0</v>
      </c>
      <c r="H637" s="17" t="s">
        <v>18</v>
      </c>
      <c r="I637" s="18">
        <f>COUNTIF(H635:I636,"a")</f>
        <v>0</v>
      </c>
      <c r="J637" s="17" t="s">
        <v>17</v>
      </c>
      <c r="K637" s="18">
        <f>COUNTIF(J635:K636,"✔")</f>
        <v>0</v>
      </c>
      <c r="L637" s="17" t="s">
        <v>18</v>
      </c>
      <c r="M637" s="18">
        <f>COUNTIF(L635:M636,"a")</f>
        <v>0</v>
      </c>
      <c r="N637" s="17" t="s">
        <v>17</v>
      </c>
      <c r="O637" s="18">
        <f>COUNTIF(N635:O636,"✔")</f>
        <v>0</v>
      </c>
      <c r="P637" s="17" t="s">
        <v>18</v>
      </c>
      <c r="Q637" s="18">
        <f>COUNTIF(P635:Q636,"a")</f>
        <v>0</v>
      </c>
      <c r="R637" s="17" t="s">
        <v>17</v>
      </c>
      <c r="S637" s="18">
        <f>COUNTIF(R635:S636,"✔")</f>
        <v>0</v>
      </c>
      <c r="T637" s="17" t="s">
        <v>18</v>
      </c>
      <c r="U637" s="18">
        <f>COUNTIF(T635:U636,"a")</f>
        <v>0</v>
      </c>
      <c r="V637" s="17" t="s">
        <v>17</v>
      </c>
      <c r="W637" s="18">
        <f>COUNTIF(V635:W636,"✔")</f>
        <v>0</v>
      </c>
      <c r="X637" s="17" t="s">
        <v>18</v>
      </c>
      <c r="Y637" s="18">
        <f>COUNTIF(X635:Y636,"a")</f>
        <v>0</v>
      </c>
      <c r="Z637" s="8"/>
      <c r="AA637" s="8"/>
    </row>
    <row r="638" spans="1:27" ht="12.75">
      <c r="A638" s="8"/>
      <c r="B638" s="47" t="s">
        <v>226</v>
      </c>
      <c r="C638" s="48"/>
      <c r="D638" s="48"/>
      <c r="E638" s="49"/>
      <c r="F638" s="43"/>
      <c r="G638" s="43"/>
      <c r="H638" s="43"/>
      <c r="I638" s="43"/>
      <c r="J638" s="43"/>
      <c r="K638" s="45"/>
      <c r="L638" s="43"/>
      <c r="M638" s="43"/>
      <c r="N638" s="43"/>
      <c r="O638" s="43"/>
      <c r="P638" s="53"/>
      <c r="Q638" s="43"/>
      <c r="R638" s="43"/>
      <c r="S638" s="43"/>
      <c r="T638" s="53"/>
      <c r="U638" s="43"/>
      <c r="V638" s="43"/>
      <c r="W638" s="43"/>
      <c r="X638" s="53"/>
      <c r="Y638" s="43"/>
      <c r="Z638" s="8"/>
      <c r="AA638" s="8"/>
    </row>
    <row r="639" spans="1:27" ht="12.75">
      <c r="A639" s="8"/>
      <c r="B639" s="50"/>
      <c r="C639" s="51"/>
      <c r="D639" s="51"/>
      <c r="E639" s="52"/>
      <c r="F639" s="44"/>
      <c r="G639" s="44"/>
      <c r="H639" s="44"/>
      <c r="I639" s="44"/>
      <c r="J639" s="44"/>
      <c r="K639" s="36"/>
      <c r="L639" s="44"/>
      <c r="M639" s="44"/>
      <c r="N639" s="44"/>
      <c r="O639" s="44"/>
      <c r="P639" s="36"/>
      <c r="Q639" s="44"/>
      <c r="R639" s="44"/>
      <c r="S639" s="44"/>
      <c r="T639" s="36"/>
      <c r="U639" s="44"/>
      <c r="V639" s="44"/>
      <c r="W639" s="44"/>
      <c r="X639" s="36"/>
      <c r="Y639" s="44"/>
      <c r="Z639" s="8"/>
      <c r="AA639" s="8"/>
    </row>
    <row r="640" spans="1:27" ht="15">
      <c r="A640" s="8"/>
      <c r="B640" s="16"/>
      <c r="C640" s="24"/>
      <c r="D640" s="24"/>
      <c r="E640" s="25"/>
      <c r="F640" s="17" t="s">
        <v>17</v>
      </c>
      <c r="G640" s="18">
        <f>COUNTIF(F638:G639,"✔")</f>
        <v>0</v>
      </c>
      <c r="H640" s="17" t="s">
        <v>18</v>
      </c>
      <c r="I640" s="18">
        <f>COUNTIF(H638:I639,"a")</f>
        <v>0</v>
      </c>
      <c r="J640" s="17" t="s">
        <v>17</v>
      </c>
      <c r="K640" s="18">
        <f>COUNTIF(J638:K639,"✔")</f>
        <v>0</v>
      </c>
      <c r="L640" s="17" t="s">
        <v>18</v>
      </c>
      <c r="M640" s="18">
        <f>COUNTIF(L638:M639,"a")</f>
        <v>0</v>
      </c>
      <c r="N640" s="17" t="s">
        <v>17</v>
      </c>
      <c r="O640" s="18">
        <f>COUNTIF(N638:O639,"✔")</f>
        <v>0</v>
      </c>
      <c r="P640" s="17" t="s">
        <v>18</v>
      </c>
      <c r="Q640" s="18">
        <f>COUNTIF(P638:Q639,"a")</f>
        <v>0</v>
      </c>
      <c r="R640" s="17" t="s">
        <v>17</v>
      </c>
      <c r="S640" s="18">
        <f>COUNTIF(R638:S639,"✔")</f>
        <v>0</v>
      </c>
      <c r="T640" s="17" t="s">
        <v>18</v>
      </c>
      <c r="U640" s="18">
        <f>COUNTIF(T638:U639,"a")</f>
        <v>0</v>
      </c>
      <c r="V640" s="17" t="s">
        <v>17</v>
      </c>
      <c r="W640" s="18">
        <f>COUNTIF(V638:W639,"✔")</f>
        <v>0</v>
      </c>
      <c r="X640" s="17" t="s">
        <v>18</v>
      </c>
      <c r="Y640" s="18">
        <f>COUNTIF(X638:Y639,"a")</f>
        <v>0</v>
      </c>
      <c r="Z640" s="8"/>
      <c r="AA640" s="8"/>
    </row>
    <row r="641" spans="1:27" ht="12.75">
      <c r="A641" s="8"/>
      <c r="B641" s="47" t="s">
        <v>227</v>
      </c>
      <c r="C641" s="48"/>
      <c r="D641" s="48"/>
      <c r="E641" s="49"/>
      <c r="F641" s="43"/>
      <c r="G641" s="43"/>
      <c r="H641" s="43"/>
      <c r="I641" s="43"/>
      <c r="J641" s="43"/>
      <c r="K641" s="45"/>
      <c r="L641" s="43"/>
      <c r="M641" s="43"/>
      <c r="N641" s="43"/>
      <c r="O641" s="43"/>
      <c r="P641" s="53"/>
      <c r="Q641" s="43"/>
      <c r="R641" s="43"/>
      <c r="S641" s="43"/>
      <c r="T641" s="43"/>
      <c r="U641" s="43"/>
      <c r="V641" s="43"/>
      <c r="W641" s="43"/>
      <c r="X641" s="53"/>
      <c r="Y641" s="43"/>
      <c r="Z641" s="8"/>
      <c r="AA641" s="8"/>
    </row>
    <row r="642" spans="1:27" ht="12.75">
      <c r="A642" s="8"/>
      <c r="B642" s="50"/>
      <c r="C642" s="51"/>
      <c r="D642" s="51"/>
      <c r="E642" s="52"/>
      <c r="F642" s="44"/>
      <c r="G642" s="44"/>
      <c r="H642" s="44"/>
      <c r="I642" s="44"/>
      <c r="J642" s="44"/>
      <c r="K642" s="36"/>
      <c r="L642" s="44"/>
      <c r="M642" s="44"/>
      <c r="N642" s="44"/>
      <c r="O642" s="44"/>
      <c r="P642" s="36"/>
      <c r="Q642" s="44"/>
      <c r="R642" s="44"/>
      <c r="S642" s="44"/>
      <c r="T642" s="44"/>
      <c r="U642" s="44"/>
      <c r="V642" s="44"/>
      <c r="W642" s="44"/>
      <c r="X642" s="36"/>
      <c r="Y642" s="44"/>
      <c r="Z642" s="8"/>
      <c r="AA642" s="8"/>
    </row>
    <row r="643" spans="1:27" ht="15">
      <c r="A643" s="8"/>
      <c r="B643" s="16"/>
      <c r="C643" s="24"/>
      <c r="D643" s="24"/>
      <c r="E643" s="25"/>
      <c r="F643" s="17" t="s">
        <v>17</v>
      </c>
      <c r="G643" s="18">
        <f>COUNTIF(F641:G642,"✔")</f>
        <v>0</v>
      </c>
      <c r="H643" s="17" t="s">
        <v>18</v>
      </c>
      <c r="I643" s="18">
        <f>COUNTIF(H641:I642,"a")</f>
        <v>0</v>
      </c>
      <c r="J643" s="17" t="s">
        <v>17</v>
      </c>
      <c r="K643" s="18">
        <f>COUNTIF(J641:K642,"✔")</f>
        <v>0</v>
      </c>
      <c r="L643" s="17" t="s">
        <v>18</v>
      </c>
      <c r="M643" s="18">
        <f>COUNTIF(L641:M642,"a")</f>
        <v>0</v>
      </c>
      <c r="N643" s="17" t="s">
        <v>17</v>
      </c>
      <c r="O643" s="18">
        <f>COUNTIF(N641:O642,"✔")</f>
        <v>0</v>
      </c>
      <c r="P643" s="17" t="s">
        <v>18</v>
      </c>
      <c r="Q643" s="18">
        <f>COUNTIF(P641:Q642,"a")</f>
        <v>0</v>
      </c>
      <c r="R643" s="17" t="s">
        <v>17</v>
      </c>
      <c r="S643" s="18">
        <f>COUNTIF(R641:S642,"✔")</f>
        <v>0</v>
      </c>
      <c r="T643" s="17" t="s">
        <v>18</v>
      </c>
      <c r="U643" s="18">
        <f>COUNTIF(T641:U642,"a")</f>
        <v>0</v>
      </c>
      <c r="V643" s="17" t="s">
        <v>17</v>
      </c>
      <c r="W643" s="18">
        <f>COUNTIF(V641:W642,"✔")</f>
        <v>0</v>
      </c>
      <c r="X643" s="17" t="s">
        <v>18</v>
      </c>
      <c r="Y643" s="18">
        <f>COUNTIF(X641:Y642,"a")</f>
        <v>0</v>
      </c>
      <c r="Z643" s="8"/>
      <c r="AA643" s="8"/>
    </row>
    <row r="644" spans="1:27" ht="12.75">
      <c r="A644" s="8"/>
      <c r="B644" s="47" t="s">
        <v>228</v>
      </c>
      <c r="C644" s="48"/>
      <c r="D644" s="48"/>
      <c r="E644" s="49"/>
      <c r="F644" s="43"/>
      <c r="G644" s="43"/>
      <c r="H644" s="43"/>
      <c r="I644" s="43"/>
      <c r="J644" s="43"/>
      <c r="K644" s="45"/>
      <c r="L644" s="43"/>
      <c r="M644" s="43"/>
      <c r="N644" s="43"/>
      <c r="O644" s="43"/>
      <c r="P644" s="53"/>
      <c r="Q644" s="43"/>
      <c r="R644" s="43"/>
      <c r="S644" s="43"/>
      <c r="T644" s="43"/>
      <c r="U644" s="43"/>
      <c r="V644" s="43"/>
      <c r="W644" s="43"/>
      <c r="X644" s="43"/>
      <c r="Y644" s="43"/>
      <c r="Z644" s="8"/>
      <c r="AA644" s="8"/>
    </row>
    <row r="645" spans="1:27" ht="12.75">
      <c r="A645" s="8"/>
      <c r="B645" s="50"/>
      <c r="C645" s="51"/>
      <c r="D645" s="51"/>
      <c r="E645" s="52"/>
      <c r="F645" s="44"/>
      <c r="G645" s="44"/>
      <c r="H645" s="44"/>
      <c r="I645" s="44"/>
      <c r="J645" s="44"/>
      <c r="K645" s="36"/>
      <c r="L645" s="44"/>
      <c r="M645" s="44"/>
      <c r="N645" s="44"/>
      <c r="O645" s="44"/>
      <c r="P645" s="36"/>
      <c r="Q645" s="44"/>
      <c r="R645" s="44"/>
      <c r="S645" s="44"/>
      <c r="T645" s="44"/>
      <c r="U645" s="44"/>
      <c r="V645" s="44"/>
      <c r="W645" s="44"/>
      <c r="X645" s="44"/>
      <c r="Y645" s="44"/>
      <c r="Z645" s="8"/>
      <c r="AA645" s="8"/>
    </row>
    <row r="646" spans="1:27" ht="15">
      <c r="A646" s="8"/>
      <c r="B646" s="16"/>
      <c r="C646" s="24"/>
      <c r="D646" s="24"/>
      <c r="E646" s="25"/>
      <c r="F646" s="17" t="s">
        <v>17</v>
      </c>
      <c r="G646" s="18">
        <f>COUNTIF(F644:G645,"✔")</f>
        <v>0</v>
      </c>
      <c r="H646" s="17" t="s">
        <v>18</v>
      </c>
      <c r="I646" s="18">
        <f>COUNTIF(H644:I645,"a")</f>
        <v>0</v>
      </c>
      <c r="J646" s="17" t="s">
        <v>17</v>
      </c>
      <c r="K646" s="18">
        <f>COUNTIF(J644:K645,"✔")</f>
        <v>0</v>
      </c>
      <c r="L646" s="17" t="s">
        <v>18</v>
      </c>
      <c r="M646" s="18">
        <f>COUNTIF(L644:M645,"a")</f>
        <v>0</v>
      </c>
      <c r="N646" s="17" t="s">
        <v>17</v>
      </c>
      <c r="O646" s="18">
        <f>COUNTIF(N644:O645,"✔")</f>
        <v>0</v>
      </c>
      <c r="P646" s="17" t="s">
        <v>18</v>
      </c>
      <c r="Q646" s="18">
        <f>COUNTIF(P644:Q645,"a")</f>
        <v>0</v>
      </c>
      <c r="R646" s="17" t="s">
        <v>17</v>
      </c>
      <c r="S646" s="18">
        <f>COUNTIF(R644:S645,"✔")</f>
        <v>0</v>
      </c>
      <c r="T646" s="17" t="s">
        <v>18</v>
      </c>
      <c r="U646" s="18">
        <f>COUNTIF(T644:U645,"a")</f>
        <v>0</v>
      </c>
      <c r="V646" s="17" t="s">
        <v>17</v>
      </c>
      <c r="W646" s="18">
        <f>COUNTIF(V644:W645,"✔")</f>
        <v>0</v>
      </c>
      <c r="X646" s="17" t="s">
        <v>18</v>
      </c>
      <c r="Y646" s="18">
        <f>COUNTIF(X644:Y645,"a")</f>
        <v>0</v>
      </c>
      <c r="Z646" s="8"/>
      <c r="AA646" s="8"/>
    </row>
    <row r="647" spans="1:27" ht="12.75">
      <c r="A647" s="8"/>
      <c r="B647" s="47" t="s">
        <v>229</v>
      </c>
      <c r="C647" s="48"/>
      <c r="D647" s="48"/>
      <c r="E647" s="49"/>
      <c r="F647" s="43"/>
      <c r="G647" s="43"/>
      <c r="H647" s="43"/>
      <c r="I647" s="43"/>
      <c r="J647" s="43"/>
      <c r="K647" s="45"/>
      <c r="L647" s="43"/>
      <c r="M647" s="43"/>
      <c r="N647" s="43"/>
      <c r="O647" s="43"/>
      <c r="P647" s="53"/>
      <c r="Q647" s="43"/>
      <c r="R647" s="43"/>
      <c r="S647" s="43"/>
      <c r="T647" s="43"/>
      <c r="U647" s="43"/>
      <c r="V647" s="43"/>
      <c r="W647" s="43"/>
      <c r="X647" s="43"/>
      <c r="Y647" s="43"/>
      <c r="Z647" s="8"/>
      <c r="AA647" s="8"/>
    </row>
    <row r="648" spans="1:27" ht="12.75">
      <c r="A648" s="8"/>
      <c r="B648" s="50"/>
      <c r="C648" s="51"/>
      <c r="D648" s="51"/>
      <c r="E648" s="52"/>
      <c r="F648" s="44"/>
      <c r="G648" s="44"/>
      <c r="H648" s="44"/>
      <c r="I648" s="44"/>
      <c r="J648" s="44"/>
      <c r="K648" s="36"/>
      <c r="L648" s="44"/>
      <c r="M648" s="44"/>
      <c r="N648" s="44"/>
      <c r="O648" s="44"/>
      <c r="P648" s="36"/>
      <c r="Q648" s="44"/>
      <c r="R648" s="44"/>
      <c r="S648" s="44"/>
      <c r="T648" s="44"/>
      <c r="U648" s="44"/>
      <c r="V648" s="44"/>
      <c r="W648" s="44"/>
      <c r="X648" s="44"/>
      <c r="Y648" s="44"/>
      <c r="Z648" s="8"/>
      <c r="AA648" s="8"/>
    </row>
    <row r="649" spans="1:27" ht="15">
      <c r="A649" s="8"/>
      <c r="B649" s="16"/>
      <c r="C649" s="24"/>
      <c r="D649" s="24"/>
      <c r="E649" s="25"/>
      <c r="F649" s="17" t="s">
        <v>17</v>
      </c>
      <c r="G649" s="18">
        <f>COUNTIF(F647:G648,"✔")</f>
        <v>0</v>
      </c>
      <c r="H649" s="17" t="s">
        <v>18</v>
      </c>
      <c r="I649" s="18">
        <f>COUNTIF(H647:I648,"a")</f>
        <v>0</v>
      </c>
      <c r="J649" s="17" t="s">
        <v>17</v>
      </c>
      <c r="K649" s="18">
        <f>COUNTIF(J647:K648,"✔")</f>
        <v>0</v>
      </c>
      <c r="L649" s="17" t="s">
        <v>18</v>
      </c>
      <c r="M649" s="18">
        <f>COUNTIF(L647:M648,"a")</f>
        <v>0</v>
      </c>
      <c r="N649" s="17" t="s">
        <v>17</v>
      </c>
      <c r="O649" s="18">
        <f>COUNTIF(N647:O648,"✔")</f>
        <v>0</v>
      </c>
      <c r="P649" s="17" t="s">
        <v>18</v>
      </c>
      <c r="Q649" s="18">
        <f>COUNTIF(P647:Q648,"a")</f>
        <v>0</v>
      </c>
      <c r="R649" s="17" t="s">
        <v>17</v>
      </c>
      <c r="S649" s="18">
        <f>COUNTIF(R647:S648,"✔")</f>
        <v>0</v>
      </c>
      <c r="T649" s="17" t="s">
        <v>18</v>
      </c>
      <c r="U649" s="18">
        <f>COUNTIF(T647:U648,"a")</f>
        <v>0</v>
      </c>
      <c r="V649" s="17" t="s">
        <v>17</v>
      </c>
      <c r="W649" s="18">
        <f>COUNTIF(V647:W648,"✔")</f>
        <v>0</v>
      </c>
      <c r="X649" s="17" t="s">
        <v>18</v>
      </c>
      <c r="Y649" s="18">
        <f>COUNTIF(X647:Y648,"a")</f>
        <v>0</v>
      </c>
      <c r="Z649" s="8"/>
      <c r="AA649" s="8"/>
    </row>
    <row r="650" spans="1:27" ht="12.75">
      <c r="A650" s="8"/>
      <c r="B650" s="47" t="s">
        <v>230</v>
      </c>
      <c r="C650" s="48"/>
      <c r="D650" s="48"/>
      <c r="E650" s="49"/>
      <c r="F650" s="43"/>
      <c r="G650" s="43"/>
      <c r="H650" s="43"/>
      <c r="I650" s="43"/>
      <c r="J650" s="43"/>
      <c r="K650" s="45"/>
      <c r="L650" s="43"/>
      <c r="M650" s="43"/>
      <c r="N650" s="43"/>
      <c r="O650" s="43"/>
      <c r="P650" s="53"/>
      <c r="Q650" s="43"/>
      <c r="R650" s="43"/>
      <c r="S650" s="43"/>
      <c r="T650" s="43"/>
      <c r="U650" s="43"/>
      <c r="V650" s="43"/>
      <c r="W650" s="43"/>
      <c r="X650" s="43"/>
      <c r="Y650" s="43"/>
      <c r="Z650" s="8"/>
      <c r="AA650" s="8"/>
    </row>
    <row r="651" spans="1:27" ht="12.75">
      <c r="A651" s="8"/>
      <c r="B651" s="50"/>
      <c r="C651" s="51"/>
      <c r="D651" s="51"/>
      <c r="E651" s="52"/>
      <c r="F651" s="44"/>
      <c r="G651" s="44"/>
      <c r="H651" s="44"/>
      <c r="I651" s="44"/>
      <c r="J651" s="44"/>
      <c r="K651" s="36"/>
      <c r="L651" s="44"/>
      <c r="M651" s="44"/>
      <c r="N651" s="44"/>
      <c r="O651" s="44"/>
      <c r="P651" s="36"/>
      <c r="Q651" s="44"/>
      <c r="R651" s="44"/>
      <c r="S651" s="44"/>
      <c r="T651" s="44"/>
      <c r="U651" s="44"/>
      <c r="V651" s="44"/>
      <c r="W651" s="44"/>
      <c r="X651" s="44"/>
      <c r="Y651" s="44"/>
      <c r="Z651" s="8"/>
      <c r="AA651" s="8"/>
    </row>
    <row r="652" spans="1:27" ht="15">
      <c r="A652" s="8"/>
      <c r="B652" s="16"/>
      <c r="C652" s="24"/>
      <c r="D652" s="24"/>
      <c r="E652" s="25"/>
      <c r="F652" s="17" t="s">
        <v>17</v>
      </c>
      <c r="G652" s="18">
        <f>COUNTIF(F650:G651,"✔")</f>
        <v>0</v>
      </c>
      <c r="H652" s="17" t="s">
        <v>18</v>
      </c>
      <c r="I652" s="18">
        <f>COUNTIF(H650:I651,"a")</f>
        <v>0</v>
      </c>
      <c r="J652" s="17" t="s">
        <v>17</v>
      </c>
      <c r="K652" s="18">
        <f>COUNTIF(J650:K651,"✔")</f>
        <v>0</v>
      </c>
      <c r="L652" s="17" t="s">
        <v>18</v>
      </c>
      <c r="M652" s="18">
        <f>COUNTIF(L650:M651,"a")</f>
        <v>0</v>
      </c>
      <c r="N652" s="17" t="s">
        <v>17</v>
      </c>
      <c r="O652" s="18">
        <f>COUNTIF(N650:O651,"✔")</f>
        <v>0</v>
      </c>
      <c r="P652" s="17" t="s">
        <v>18</v>
      </c>
      <c r="Q652" s="18">
        <f>COUNTIF(P650:Q651,"a")</f>
        <v>0</v>
      </c>
      <c r="R652" s="17" t="s">
        <v>17</v>
      </c>
      <c r="S652" s="18">
        <f>COUNTIF(R650:S651,"✔")</f>
        <v>0</v>
      </c>
      <c r="T652" s="17" t="s">
        <v>18</v>
      </c>
      <c r="U652" s="18">
        <f>COUNTIF(T650:U651,"a")</f>
        <v>0</v>
      </c>
      <c r="V652" s="17" t="s">
        <v>17</v>
      </c>
      <c r="W652" s="18">
        <f>COUNTIF(V650:W651,"✔")</f>
        <v>0</v>
      </c>
      <c r="X652" s="17" t="s">
        <v>18</v>
      </c>
      <c r="Y652" s="18">
        <f>COUNTIF(X650:Y651,"a")</f>
        <v>0</v>
      </c>
      <c r="Z652" s="8"/>
      <c r="AA652" s="8"/>
    </row>
    <row r="653" spans="1:27" ht="12.75">
      <c r="A653" s="8"/>
      <c r="B653" s="47" t="s">
        <v>165</v>
      </c>
      <c r="C653" s="48"/>
      <c r="D653" s="48"/>
      <c r="E653" s="49"/>
      <c r="F653" s="43"/>
      <c r="G653" s="43"/>
      <c r="H653" s="43"/>
      <c r="I653" s="43"/>
      <c r="J653" s="43"/>
      <c r="K653" s="45"/>
      <c r="L653" s="43"/>
      <c r="M653" s="43"/>
      <c r="N653" s="43"/>
      <c r="O653" s="43"/>
      <c r="P653" s="53"/>
      <c r="Q653" s="43"/>
      <c r="R653" s="43"/>
      <c r="S653" s="43"/>
      <c r="T653" s="43"/>
      <c r="U653" s="43"/>
      <c r="V653" s="43"/>
      <c r="W653" s="43"/>
      <c r="X653" s="43"/>
      <c r="Y653" s="43"/>
      <c r="Z653" s="8"/>
      <c r="AA653" s="8"/>
    </row>
    <row r="654" spans="1:27" ht="12.75">
      <c r="A654" s="8"/>
      <c r="B654" s="50"/>
      <c r="C654" s="51"/>
      <c r="D654" s="51"/>
      <c r="E654" s="52"/>
      <c r="F654" s="44"/>
      <c r="G654" s="44"/>
      <c r="H654" s="44"/>
      <c r="I654" s="44"/>
      <c r="J654" s="44"/>
      <c r="K654" s="36"/>
      <c r="L654" s="44"/>
      <c r="M654" s="44"/>
      <c r="N654" s="44"/>
      <c r="O654" s="44"/>
      <c r="P654" s="36"/>
      <c r="Q654" s="44"/>
      <c r="R654" s="44"/>
      <c r="S654" s="44"/>
      <c r="T654" s="44"/>
      <c r="U654" s="44"/>
      <c r="V654" s="44"/>
      <c r="W654" s="44"/>
      <c r="X654" s="44"/>
      <c r="Y654" s="44"/>
      <c r="Z654" s="8"/>
      <c r="AA654" s="8"/>
    </row>
    <row r="655" spans="1:27" ht="15">
      <c r="A655" s="8"/>
      <c r="B655" s="16"/>
      <c r="C655" s="24"/>
      <c r="D655" s="24"/>
      <c r="E655" s="25"/>
      <c r="F655" s="17" t="s">
        <v>17</v>
      </c>
      <c r="G655" s="18">
        <f>COUNTIF(F653:G654,"✔")</f>
        <v>0</v>
      </c>
      <c r="H655" s="17" t="s">
        <v>18</v>
      </c>
      <c r="I655" s="18">
        <f>COUNTIF(H653:I654,"a")</f>
        <v>0</v>
      </c>
      <c r="J655" s="17" t="s">
        <v>17</v>
      </c>
      <c r="K655" s="18">
        <f>COUNTIF(J653:K654,"✔")</f>
        <v>0</v>
      </c>
      <c r="L655" s="17" t="s">
        <v>18</v>
      </c>
      <c r="M655" s="18">
        <f>COUNTIF(L653:M654,"a")</f>
        <v>0</v>
      </c>
      <c r="N655" s="17" t="s">
        <v>17</v>
      </c>
      <c r="O655" s="18">
        <f>COUNTIF(N653:O654,"✔")</f>
        <v>0</v>
      </c>
      <c r="P655" s="17" t="s">
        <v>18</v>
      </c>
      <c r="Q655" s="18">
        <f>COUNTIF(P653:Q654,"a")</f>
        <v>0</v>
      </c>
      <c r="R655" s="17" t="s">
        <v>17</v>
      </c>
      <c r="S655" s="18">
        <f>COUNTIF(R653:S654,"✔")</f>
        <v>0</v>
      </c>
      <c r="T655" s="17" t="s">
        <v>18</v>
      </c>
      <c r="U655" s="18">
        <f>COUNTIF(T653:U654,"a")</f>
        <v>0</v>
      </c>
      <c r="V655" s="17" t="s">
        <v>17</v>
      </c>
      <c r="W655" s="18">
        <f>COUNTIF(V653:W654,"✔")</f>
        <v>0</v>
      </c>
      <c r="X655" s="17" t="s">
        <v>18</v>
      </c>
      <c r="Y655" s="18">
        <f>COUNTIF(X653:Y654,"a")</f>
        <v>0</v>
      </c>
      <c r="Z655" s="8"/>
      <c r="AA655" s="8"/>
    </row>
    <row r="656" spans="1:27" ht="12.75">
      <c r="A656" s="8"/>
      <c r="B656" s="47" t="s">
        <v>148</v>
      </c>
      <c r="C656" s="48"/>
      <c r="D656" s="48"/>
      <c r="E656" s="49"/>
      <c r="F656" s="43"/>
      <c r="G656" s="43"/>
      <c r="H656" s="43"/>
      <c r="I656" s="43"/>
      <c r="J656" s="43"/>
      <c r="K656" s="45"/>
      <c r="L656" s="43"/>
      <c r="M656" s="43"/>
      <c r="N656" s="43"/>
      <c r="O656" s="43"/>
      <c r="P656" s="53"/>
      <c r="Q656" s="43"/>
      <c r="R656" s="43"/>
      <c r="S656" s="43"/>
      <c r="T656" s="43"/>
      <c r="U656" s="43"/>
      <c r="V656" s="43"/>
      <c r="W656" s="43"/>
      <c r="X656" s="43"/>
      <c r="Y656" s="43"/>
      <c r="Z656" s="8"/>
      <c r="AA656" s="8"/>
    </row>
    <row r="657" spans="1:27" ht="12.75">
      <c r="A657" s="8"/>
      <c r="B657" s="50"/>
      <c r="C657" s="51"/>
      <c r="D657" s="51"/>
      <c r="E657" s="52"/>
      <c r="F657" s="44"/>
      <c r="G657" s="44"/>
      <c r="H657" s="44"/>
      <c r="I657" s="44"/>
      <c r="J657" s="44"/>
      <c r="K657" s="36"/>
      <c r="L657" s="44"/>
      <c r="M657" s="44"/>
      <c r="N657" s="44"/>
      <c r="O657" s="44"/>
      <c r="P657" s="36"/>
      <c r="Q657" s="44"/>
      <c r="R657" s="44"/>
      <c r="S657" s="44"/>
      <c r="T657" s="44"/>
      <c r="U657" s="44"/>
      <c r="V657" s="44"/>
      <c r="W657" s="44"/>
      <c r="X657" s="44"/>
      <c r="Y657" s="44"/>
      <c r="Z657" s="8"/>
      <c r="AA657" s="8"/>
    </row>
    <row r="658" spans="1:27" ht="15">
      <c r="A658" s="8"/>
      <c r="B658" s="16"/>
      <c r="C658" s="24"/>
      <c r="D658" s="24"/>
      <c r="E658" s="25"/>
      <c r="F658" s="17" t="s">
        <v>17</v>
      </c>
      <c r="G658" s="18">
        <f>COUNTIF(F656:G657,"✔")</f>
        <v>0</v>
      </c>
      <c r="H658" s="17" t="s">
        <v>18</v>
      </c>
      <c r="I658" s="18">
        <f>COUNTIF(H656:I657,"a")</f>
        <v>0</v>
      </c>
      <c r="J658" s="17" t="s">
        <v>17</v>
      </c>
      <c r="K658" s="18">
        <f>COUNTIF(J656:K657,"✔")</f>
        <v>0</v>
      </c>
      <c r="L658" s="17" t="s">
        <v>18</v>
      </c>
      <c r="M658" s="18">
        <f>COUNTIF(L656:M657,"a")</f>
        <v>0</v>
      </c>
      <c r="N658" s="17" t="s">
        <v>17</v>
      </c>
      <c r="O658" s="18">
        <f>COUNTIF(N656:O657,"✔")</f>
        <v>0</v>
      </c>
      <c r="P658" s="17" t="s">
        <v>18</v>
      </c>
      <c r="Q658" s="18">
        <f>COUNTIF(P656:Q657,"a")</f>
        <v>0</v>
      </c>
      <c r="R658" s="17" t="s">
        <v>17</v>
      </c>
      <c r="S658" s="18">
        <f>COUNTIF(R656:S657,"✔")</f>
        <v>0</v>
      </c>
      <c r="T658" s="17" t="s">
        <v>18</v>
      </c>
      <c r="U658" s="18">
        <f>COUNTIF(T656:U657,"a")</f>
        <v>0</v>
      </c>
      <c r="V658" s="17" t="s">
        <v>17</v>
      </c>
      <c r="W658" s="18">
        <f>COUNTIF(V656:W657,"✔")</f>
        <v>0</v>
      </c>
      <c r="X658" s="17" t="s">
        <v>18</v>
      </c>
      <c r="Y658" s="18">
        <f>COUNTIF(X656:Y657,"a")</f>
        <v>0</v>
      </c>
      <c r="Z658" s="8"/>
      <c r="AA658" s="8"/>
    </row>
    <row r="659" spans="1:27" ht="12.75">
      <c r="A659" s="8"/>
      <c r="B659" s="47" t="s">
        <v>231</v>
      </c>
      <c r="C659" s="48"/>
      <c r="D659" s="48"/>
      <c r="E659" s="49"/>
      <c r="F659" s="43"/>
      <c r="G659" s="43"/>
      <c r="H659" s="43"/>
      <c r="I659" s="43"/>
      <c r="J659" s="43"/>
      <c r="K659" s="45"/>
      <c r="L659" s="43"/>
      <c r="M659" s="43"/>
      <c r="N659" s="43"/>
      <c r="O659" s="43"/>
      <c r="P659" s="53"/>
      <c r="Q659" s="43"/>
      <c r="R659" s="43"/>
      <c r="S659" s="43"/>
      <c r="T659" s="53"/>
      <c r="U659" s="43"/>
      <c r="V659" s="43"/>
      <c r="W659" s="43"/>
      <c r="X659" s="53"/>
      <c r="Y659" s="43"/>
      <c r="Z659" s="8"/>
      <c r="AA659" s="8"/>
    </row>
    <row r="660" spans="1:27" ht="12.75">
      <c r="A660" s="8"/>
      <c r="B660" s="50"/>
      <c r="C660" s="51"/>
      <c r="D660" s="51"/>
      <c r="E660" s="52"/>
      <c r="F660" s="44"/>
      <c r="G660" s="44"/>
      <c r="H660" s="44"/>
      <c r="I660" s="44"/>
      <c r="J660" s="44"/>
      <c r="K660" s="36"/>
      <c r="L660" s="44"/>
      <c r="M660" s="44"/>
      <c r="N660" s="44"/>
      <c r="O660" s="44"/>
      <c r="P660" s="36"/>
      <c r="Q660" s="44"/>
      <c r="R660" s="44"/>
      <c r="S660" s="44"/>
      <c r="T660" s="36"/>
      <c r="U660" s="44"/>
      <c r="V660" s="44"/>
      <c r="W660" s="44"/>
      <c r="X660" s="36"/>
      <c r="Y660" s="44"/>
      <c r="Z660" s="8"/>
      <c r="AA660" s="8"/>
    </row>
    <row r="661" spans="1:27" ht="15">
      <c r="A661" s="8"/>
      <c r="B661" s="16"/>
      <c r="C661" s="24"/>
      <c r="D661" s="24"/>
      <c r="E661" s="25"/>
      <c r="F661" s="17" t="s">
        <v>17</v>
      </c>
      <c r="G661" s="18">
        <f>COUNTIF(F659:G660,"✔")</f>
        <v>0</v>
      </c>
      <c r="H661" s="17" t="s">
        <v>18</v>
      </c>
      <c r="I661" s="18">
        <f>COUNTIF(H659:I660,"a")</f>
        <v>0</v>
      </c>
      <c r="J661" s="17" t="s">
        <v>17</v>
      </c>
      <c r="K661" s="18">
        <f>COUNTIF(J659:K660,"✔")</f>
        <v>0</v>
      </c>
      <c r="L661" s="17" t="s">
        <v>18</v>
      </c>
      <c r="M661" s="18">
        <f>COUNTIF(L659:M660,"a")</f>
        <v>0</v>
      </c>
      <c r="N661" s="17" t="s">
        <v>17</v>
      </c>
      <c r="O661" s="18">
        <f>COUNTIF(N659:O660,"✔")</f>
        <v>0</v>
      </c>
      <c r="P661" s="17" t="s">
        <v>18</v>
      </c>
      <c r="Q661" s="18">
        <f>COUNTIF(P659:Q660,"a")</f>
        <v>0</v>
      </c>
      <c r="R661" s="17" t="s">
        <v>17</v>
      </c>
      <c r="S661" s="18">
        <f>COUNTIF(R659:S660,"✔")</f>
        <v>0</v>
      </c>
      <c r="T661" s="17" t="s">
        <v>18</v>
      </c>
      <c r="U661" s="18">
        <f>COUNTIF(T659:U660,"a")</f>
        <v>0</v>
      </c>
      <c r="V661" s="17" t="s">
        <v>17</v>
      </c>
      <c r="W661" s="18">
        <f>COUNTIF(V659:W660,"✔")</f>
        <v>0</v>
      </c>
      <c r="X661" s="17" t="s">
        <v>18</v>
      </c>
      <c r="Y661" s="18">
        <f>COUNTIF(X659:Y660,"a")</f>
        <v>0</v>
      </c>
      <c r="Z661" s="8"/>
      <c r="AA661" s="8"/>
    </row>
    <row r="662" spans="1:27" ht="12.75">
      <c r="A662" s="8"/>
      <c r="B662" s="47" t="s">
        <v>232</v>
      </c>
      <c r="C662" s="48"/>
      <c r="D662" s="48"/>
      <c r="E662" s="49"/>
      <c r="F662" s="43"/>
      <c r="G662" s="43"/>
      <c r="H662" s="43"/>
      <c r="I662" s="43"/>
      <c r="J662" s="43"/>
      <c r="K662" s="45"/>
      <c r="L662" s="43"/>
      <c r="M662" s="43"/>
      <c r="N662" s="43"/>
      <c r="O662" s="43"/>
      <c r="P662" s="53"/>
      <c r="Q662" s="43"/>
      <c r="R662" s="43"/>
      <c r="S662" s="43"/>
      <c r="T662" s="43"/>
      <c r="U662" s="43"/>
      <c r="V662" s="43"/>
      <c r="W662" s="43"/>
      <c r="X662" s="43"/>
      <c r="Y662" s="43"/>
      <c r="Z662" s="8"/>
      <c r="AA662" s="8"/>
    </row>
    <row r="663" spans="1:27" ht="12.75">
      <c r="A663" s="8"/>
      <c r="B663" s="50"/>
      <c r="C663" s="51"/>
      <c r="D663" s="51"/>
      <c r="E663" s="52"/>
      <c r="F663" s="44"/>
      <c r="G663" s="44"/>
      <c r="H663" s="44"/>
      <c r="I663" s="44"/>
      <c r="J663" s="44"/>
      <c r="K663" s="36"/>
      <c r="L663" s="44"/>
      <c r="M663" s="44"/>
      <c r="N663" s="44"/>
      <c r="O663" s="44"/>
      <c r="P663" s="36"/>
      <c r="Q663" s="44"/>
      <c r="R663" s="44"/>
      <c r="S663" s="44"/>
      <c r="T663" s="44"/>
      <c r="U663" s="44"/>
      <c r="V663" s="44"/>
      <c r="W663" s="44"/>
      <c r="X663" s="44"/>
      <c r="Y663" s="44"/>
      <c r="Z663" s="8"/>
      <c r="AA663" s="8"/>
    </row>
    <row r="664" spans="1:27" ht="15">
      <c r="A664" s="8"/>
      <c r="B664" s="16"/>
      <c r="C664" s="24"/>
      <c r="D664" s="24"/>
      <c r="E664" s="25"/>
      <c r="F664" s="17" t="s">
        <v>17</v>
      </c>
      <c r="G664" s="18">
        <f>COUNTIF(F662:G663,"✔")</f>
        <v>0</v>
      </c>
      <c r="H664" s="17" t="s">
        <v>18</v>
      </c>
      <c r="I664" s="18">
        <f>COUNTIF(H662:I663,"a")</f>
        <v>0</v>
      </c>
      <c r="J664" s="17" t="s">
        <v>17</v>
      </c>
      <c r="K664" s="18">
        <f>COUNTIF(J662:K663,"✔")</f>
        <v>0</v>
      </c>
      <c r="L664" s="17" t="s">
        <v>18</v>
      </c>
      <c r="M664" s="18">
        <f>COUNTIF(L662:M663,"a")</f>
        <v>0</v>
      </c>
      <c r="N664" s="17" t="s">
        <v>17</v>
      </c>
      <c r="O664" s="18">
        <f>COUNTIF(N662:O663,"✔")</f>
        <v>0</v>
      </c>
      <c r="P664" s="17" t="s">
        <v>18</v>
      </c>
      <c r="Q664" s="18">
        <f>COUNTIF(P662:Q663,"a")</f>
        <v>0</v>
      </c>
      <c r="R664" s="17" t="s">
        <v>17</v>
      </c>
      <c r="S664" s="18">
        <f>COUNTIF(R662:S663,"✔")</f>
        <v>0</v>
      </c>
      <c r="T664" s="17" t="s">
        <v>18</v>
      </c>
      <c r="U664" s="18">
        <f>COUNTIF(T662:U663,"a")</f>
        <v>0</v>
      </c>
      <c r="V664" s="17" t="s">
        <v>17</v>
      </c>
      <c r="W664" s="18">
        <f>COUNTIF(V662:W663,"✔")</f>
        <v>0</v>
      </c>
      <c r="X664" s="17" t="s">
        <v>18</v>
      </c>
      <c r="Y664" s="18">
        <f>COUNTIF(X662:Y663,"a")</f>
        <v>0</v>
      </c>
      <c r="Z664" s="8"/>
      <c r="AA664" s="8"/>
    </row>
    <row r="665" spans="1:27" ht="12.75">
      <c r="A665" s="8"/>
      <c r="B665" s="47" t="s">
        <v>233</v>
      </c>
      <c r="C665" s="48"/>
      <c r="D665" s="48"/>
      <c r="E665" s="49"/>
      <c r="F665" s="43"/>
      <c r="G665" s="43"/>
      <c r="H665" s="43"/>
      <c r="I665" s="43"/>
      <c r="J665" s="43"/>
      <c r="K665" s="45"/>
      <c r="L665" s="43"/>
      <c r="M665" s="43"/>
      <c r="N665" s="43"/>
      <c r="O665" s="43"/>
      <c r="P665" s="53"/>
      <c r="Q665" s="43"/>
      <c r="R665" s="43"/>
      <c r="S665" s="43"/>
      <c r="T665" s="43"/>
      <c r="U665" s="43"/>
      <c r="V665" s="43"/>
      <c r="W665" s="43"/>
      <c r="X665" s="43"/>
      <c r="Y665" s="43"/>
      <c r="Z665" s="8"/>
      <c r="AA665" s="8"/>
    </row>
    <row r="666" spans="1:27" ht="12.75">
      <c r="A666" s="8"/>
      <c r="B666" s="50"/>
      <c r="C666" s="51"/>
      <c r="D666" s="51"/>
      <c r="E666" s="52"/>
      <c r="F666" s="44"/>
      <c r="G666" s="44"/>
      <c r="H666" s="44"/>
      <c r="I666" s="44"/>
      <c r="J666" s="44"/>
      <c r="K666" s="36"/>
      <c r="L666" s="44"/>
      <c r="M666" s="44"/>
      <c r="N666" s="44"/>
      <c r="O666" s="44"/>
      <c r="P666" s="36"/>
      <c r="Q666" s="44"/>
      <c r="R666" s="44"/>
      <c r="S666" s="44"/>
      <c r="T666" s="44"/>
      <c r="U666" s="44"/>
      <c r="V666" s="44"/>
      <c r="W666" s="44"/>
      <c r="X666" s="44"/>
      <c r="Y666" s="44"/>
      <c r="Z666" s="8"/>
      <c r="AA666" s="8"/>
    </row>
    <row r="667" spans="1:27" ht="15">
      <c r="A667" s="8"/>
      <c r="B667" s="16"/>
      <c r="C667" s="24"/>
      <c r="D667" s="24"/>
      <c r="E667" s="25"/>
      <c r="F667" s="17" t="s">
        <v>17</v>
      </c>
      <c r="G667" s="18">
        <f>COUNTIF(F665:G666,"✔")</f>
        <v>0</v>
      </c>
      <c r="H667" s="17" t="s">
        <v>18</v>
      </c>
      <c r="I667" s="18">
        <f>COUNTIF(H665:I666,"a")</f>
        <v>0</v>
      </c>
      <c r="J667" s="17" t="s">
        <v>17</v>
      </c>
      <c r="K667" s="18">
        <f>COUNTIF(J665:K666,"✔")</f>
        <v>0</v>
      </c>
      <c r="L667" s="17" t="s">
        <v>18</v>
      </c>
      <c r="M667" s="18">
        <f>COUNTIF(L665:M666,"a")</f>
        <v>0</v>
      </c>
      <c r="N667" s="17" t="s">
        <v>17</v>
      </c>
      <c r="O667" s="18">
        <f>COUNTIF(N665:O666,"✔")</f>
        <v>0</v>
      </c>
      <c r="P667" s="17" t="s">
        <v>18</v>
      </c>
      <c r="Q667" s="18">
        <f>COUNTIF(P665:Q666,"a")</f>
        <v>0</v>
      </c>
      <c r="R667" s="17" t="s">
        <v>17</v>
      </c>
      <c r="S667" s="18">
        <f>COUNTIF(R665:S666,"✔")</f>
        <v>0</v>
      </c>
      <c r="T667" s="17" t="s">
        <v>18</v>
      </c>
      <c r="U667" s="18">
        <f>COUNTIF(T665:U666,"a")</f>
        <v>0</v>
      </c>
      <c r="V667" s="17" t="s">
        <v>17</v>
      </c>
      <c r="W667" s="18">
        <f>COUNTIF(V665:W666,"✔")</f>
        <v>0</v>
      </c>
      <c r="X667" s="17" t="s">
        <v>18</v>
      </c>
      <c r="Y667" s="18">
        <f>COUNTIF(X665:Y666,"a")</f>
        <v>0</v>
      </c>
      <c r="Z667" s="8"/>
      <c r="AA667" s="8"/>
    </row>
    <row r="668" spans="1:27" ht="12.75">
      <c r="A668" s="8"/>
      <c r="B668" s="47" t="s">
        <v>234</v>
      </c>
      <c r="C668" s="48"/>
      <c r="D668" s="48"/>
      <c r="E668" s="49"/>
      <c r="F668" s="43"/>
      <c r="G668" s="43"/>
      <c r="H668" s="53"/>
      <c r="I668" s="43"/>
      <c r="J668" s="43"/>
      <c r="K668" s="45"/>
      <c r="L668" s="53"/>
      <c r="M668" s="43"/>
      <c r="N668" s="43"/>
      <c r="O668" s="43"/>
      <c r="P668" s="53"/>
      <c r="Q668" s="43"/>
      <c r="R668" s="43"/>
      <c r="S668" s="43"/>
      <c r="T668" s="43"/>
      <c r="U668" s="43"/>
      <c r="V668" s="43"/>
      <c r="W668" s="43"/>
      <c r="X668" s="43"/>
      <c r="Y668" s="43"/>
      <c r="Z668" s="8"/>
      <c r="AA668" s="8"/>
    </row>
    <row r="669" spans="1:27" ht="12.75">
      <c r="A669" s="8"/>
      <c r="B669" s="50"/>
      <c r="C669" s="51"/>
      <c r="D669" s="51"/>
      <c r="E669" s="52"/>
      <c r="F669" s="44"/>
      <c r="G669" s="44"/>
      <c r="H669" s="36"/>
      <c r="I669" s="44"/>
      <c r="J669" s="44"/>
      <c r="K669" s="36"/>
      <c r="L669" s="36"/>
      <c r="M669" s="44"/>
      <c r="N669" s="44"/>
      <c r="O669" s="44"/>
      <c r="P669" s="36"/>
      <c r="Q669" s="44"/>
      <c r="R669" s="44"/>
      <c r="S669" s="44"/>
      <c r="T669" s="44"/>
      <c r="U669" s="44"/>
      <c r="V669" s="44"/>
      <c r="W669" s="44"/>
      <c r="X669" s="44"/>
      <c r="Y669" s="44"/>
      <c r="Z669" s="8"/>
      <c r="AA669" s="8"/>
    </row>
    <row r="670" spans="1:27" ht="15">
      <c r="A670" s="8"/>
      <c r="B670" s="40"/>
      <c r="C670" s="41"/>
      <c r="D670" s="41"/>
      <c r="E670" s="42"/>
      <c r="F670" s="17" t="s">
        <v>17</v>
      </c>
      <c r="G670" s="18">
        <f>COUNTIF(F668:G669,"✔")</f>
        <v>0</v>
      </c>
      <c r="H670" s="17" t="s">
        <v>18</v>
      </c>
      <c r="I670" s="18">
        <f>COUNTIF(H668:I669,"a")</f>
        <v>0</v>
      </c>
      <c r="J670" s="17" t="s">
        <v>17</v>
      </c>
      <c r="K670" s="18">
        <f>COUNTIF(J668:K669,"✔")</f>
        <v>0</v>
      </c>
      <c r="L670" s="17" t="s">
        <v>18</v>
      </c>
      <c r="M670" s="18">
        <f>COUNTIF(L668:M669,"a")</f>
        <v>0</v>
      </c>
      <c r="N670" s="17" t="s">
        <v>17</v>
      </c>
      <c r="O670" s="18">
        <f>COUNTIF(N668:O669,"✔")</f>
        <v>0</v>
      </c>
      <c r="P670" s="17" t="s">
        <v>18</v>
      </c>
      <c r="Q670" s="18">
        <f>COUNTIF(P668:Q669,"a")</f>
        <v>0</v>
      </c>
      <c r="R670" s="17" t="s">
        <v>17</v>
      </c>
      <c r="S670" s="18">
        <f>COUNTIF(R668:S669,"✔")</f>
        <v>0</v>
      </c>
      <c r="T670" s="17" t="s">
        <v>18</v>
      </c>
      <c r="U670" s="18">
        <f>COUNTIF(T668:U669,"a")</f>
        <v>0</v>
      </c>
      <c r="V670" s="17" t="s">
        <v>17</v>
      </c>
      <c r="W670" s="18">
        <f>COUNTIF(V668:W669,"✔")</f>
        <v>0</v>
      </c>
      <c r="X670" s="17" t="s">
        <v>18</v>
      </c>
      <c r="Y670" s="18">
        <f>COUNTIF(X668:Y669,"a")</f>
        <v>0</v>
      </c>
      <c r="Z670" s="8"/>
      <c r="AA670" s="8"/>
    </row>
    <row r="671" spans="1:27" ht="12.75">
      <c r="A671" s="8"/>
      <c r="B671" s="47" t="s">
        <v>235</v>
      </c>
      <c r="C671" s="48"/>
      <c r="D671" s="48"/>
      <c r="E671" s="49"/>
      <c r="F671" s="43"/>
      <c r="G671" s="43"/>
      <c r="H671" s="43"/>
      <c r="I671" s="43"/>
      <c r="J671" s="43"/>
      <c r="K671" s="45"/>
      <c r="L671" s="53"/>
      <c r="M671" s="43"/>
      <c r="N671" s="43"/>
      <c r="O671" s="43"/>
      <c r="P671" s="53"/>
      <c r="Q671" s="43"/>
      <c r="R671" s="43"/>
      <c r="S671" s="43"/>
      <c r="T671" s="43"/>
      <c r="U671" s="43"/>
      <c r="V671" s="43"/>
      <c r="W671" s="43"/>
      <c r="X671" s="43"/>
      <c r="Y671" s="43"/>
      <c r="Z671" s="8"/>
      <c r="AA671" s="8"/>
    </row>
    <row r="672" spans="1:27" ht="12.75">
      <c r="A672" s="8"/>
      <c r="B672" s="50"/>
      <c r="C672" s="51"/>
      <c r="D672" s="51"/>
      <c r="E672" s="52"/>
      <c r="F672" s="44"/>
      <c r="G672" s="44"/>
      <c r="H672" s="44"/>
      <c r="I672" s="44"/>
      <c r="J672" s="44"/>
      <c r="K672" s="36"/>
      <c r="L672" s="36"/>
      <c r="M672" s="44"/>
      <c r="N672" s="44"/>
      <c r="O672" s="44"/>
      <c r="P672" s="36"/>
      <c r="Q672" s="44"/>
      <c r="R672" s="44"/>
      <c r="S672" s="44"/>
      <c r="T672" s="44"/>
      <c r="U672" s="44"/>
      <c r="V672" s="44"/>
      <c r="W672" s="44"/>
      <c r="X672" s="44"/>
      <c r="Y672" s="44"/>
      <c r="Z672" s="8"/>
      <c r="AA672" s="8"/>
    </row>
    <row r="673" spans="1:27" ht="15">
      <c r="A673" s="8"/>
      <c r="B673" s="40"/>
      <c r="C673" s="41"/>
      <c r="D673" s="41"/>
      <c r="E673" s="42"/>
      <c r="F673" s="17" t="s">
        <v>17</v>
      </c>
      <c r="G673" s="18">
        <f>COUNTIF(F671:G672,"✔")</f>
        <v>0</v>
      </c>
      <c r="H673" s="17" t="s">
        <v>18</v>
      </c>
      <c r="I673" s="18">
        <f>COUNTIF(H671:I672,"a")</f>
        <v>0</v>
      </c>
      <c r="J673" s="17" t="s">
        <v>17</v>
      </c>
      <c r="K673" s="18">
        <f>COUNTIF(J671:K672,"✔")</f>
        <v>0</v>
      </c>
      <c r="L673" s="17" t="s">
        <v>18</v>
      </c>
      <c r="M673" s="18">
        <f>COUNTIF(L671:M672,"a")</f>
        <v>0</v>
      </c>
      <c r="N673" s="17" t="s">
        <v>17</v>
      </c>
      <c r="O673" s="18">
        <f>COUNTIF(N671:O672,"✔")</f>
        <v>0</v>
      </c>
      <c r="P673" s="17" t="s">
        <v>18</v>
      </c>
      <c r="Q673" s="18">
        <f>COUNTIF(P671:Q672,"a")</f>
        <v>0</v>
      </c>
      <c r="R673" s="17" t="s">
        <v>17</v>
      </c>
      <c r="S673" s="18">
        <f>COUNTIF(R671:S672,"✔")</f>
        <v>0</v>
      </c>
      <c r="T673" s="17" t="s">
        <v>18</v>
      </c>
      <c r="U673" s="18">
        <f>COUNTIF(T671:U672,"a")</f>
        <v>0</v>
      </c>
      <c r="V673" s="17" t="s">
        <v>17</v>
      </c>
      <c r="W673" s="18">
        <f>COUNTIF(V671:W672,"✔")</f>
        <v>0</v>
      </c>
      <c r="X673" s="17" t="s">
        <v>18</v>
      </c>
      <c r="Y673" s="18">
        <f>COUNTIF(X671:Y672,"a")</f>
        <v>0</v>
      </c>
      <c r="Z673" s="8"/>
      <c r="AA673" s="8"/>
    </row>
    <row r="674" spans="1:27" ht="12.75">
      <c r="A674" s="8"/>
      <c r="B674" s="47" t="s">
        <v>236</v>
      </c>
      <c r="C674" s="48"/>
      <c r="D674" s="48"/>
      <c r="E674" s="49"/>
      <c r="F674" s="43"/>
      <c r="G674" s="43"/>
      <c r="H674" s="43"/>
      <c r="I674" s="43"/>
      <c r="J674" s="43"/>
      <c r="K674" s="45"/>
      <c r="L674" s="53"/>
      <c r="M674" s="43"/>
      <c r="N674" s="43"/>
      <c r="O674" s="43"/>
      <c r="P674" s="53"/>
      <c r="Q674" s="43"/>
      <c r="R674" s="43"/>
      <c r="S674" s="43"/>
      <c r="T674" s="43"/>
      <c r="U674" s="43"/>
      <c r="V674" s="43"/>
      <c r="W674" s="43"/>
      <c r="X674" s="43"/>
      <c r="Y674" s="43"/>
      <c r="Z674" s="8"/>
      <c r="AA674" s="8"/>
    </row>
    <row r="675" spans="1:27" ht="12.75">
      <c r="A675" s="8"/>
      <c r="B675" s="50"/>
      <c r="C675" s="51"/>
      <c r="D675" s="51"/>
      <c r="E675" s="52"/>
      <c r="F675" s="44"/>
      <c r="G675" s="44"/>
      <c r="H675" s="44"/>
      <c r="I675" s="44"/>
      <c r="J675" s="44"/>
      <c r="K675" s="36"/>
      <c r="L675" s="36"/>
      <c r="M675" s="44"/>
      <c r="N675" s="44"/>
      <c r="O675" s="44"/>
      <c r="P675" s="36"/>
      <c r="Q675" s="44"/>
      <c r="R675" s="44"/>
      <c r="S675" s="44"/>
      <c r="T675" s="44"/>
      <c r="U675" s="44"/>
      <c r="V675" s="44"/>
      <c r="W675" s="44"/>
      <c r="X675" s="44"/>
      <c r="Y675" s="44"/>
      <c r="Z675" s="8"/>
      <c r="AA675" s="8"/>
    </row>
    <row r="676" spans="1:27" ht="15">
      <c r="A676" s="8"/>
      <c r="B676" s="40"/>
      <c r="C676" s="41"/>
      <c r="D676" s="41"/>
      <c r="E676" s="42"/>
      <c r="F676" s="17" t="s">
        <v>17</v>
      </c>
      <c r="G676" s="18">
        <f>COUNTIF(F674:G675,"✔")</f>
        <v>0</v>
      </c>
      <c r="H676" s="17" t="s">
        <v>18</v>
      </c>
      <c r="I676" s="18">
        <f>COUNTIF(H674:I675,"a")</f>
        <v>0</v>
      </c>
      <c r="J676" s="17" t="s">
        <v>17</v>
      </c>
      <c r="K676" s="18">
        <f>COUNTIF(J674:K675,"✔")</f>
        <v>0</v>
      </c>
      <c r="L676" s="17" t="s">
        <v>18</v>
      </c>
      <c r="M676" s="18">
        <f>COUNTIF(L674:M675,"a")</f>
        <v>0</v>
      </c>
      <c r="N676" s="17" t="s">
        <v>17</v>
      </c>
      <c r="O676" s="18">
        <f>COUNTIF(N674:O675,"✔")</f>
        <v>0</v>
      </c>
      <c r="P676" s="17" t="s">
        <v>18</v>
      </c>
      <c r="Q676" s="18">
        <f>COUNTIF(P674:Q675,"a")</f>
        <v>0</v>
      </c>
      <c r="R676" s="17" t="s">
        <v>17</v>
      </c>
      <c r="S676" s="18">
        <f>COUNTIF(R674:S675,"✔")</f>
        <v>0</v>
      </c>
      <c r="T676" s="17" t="s">
        <v>18</v>
      </c>
      <c r="U676" s="18">
        <f>COUNTIF(T674:U675,"a")</f>
        <v>0</v>
      </c>
      <c r="V676" s="17" t="s">
        <v>17</v>
      </c>
      <c r="W676" s="18">
        <f>COUNTIF(V674:W675,"✔")</f>
        <v>0</v>
      </c>
      <c r="X676" s="17" t="s">
        <v>18</v>
      </c>
      <c r="Y676" s="18">
        <f>COUNTIF(X674:Y675,"a")</f>
        <v>0</v>
      </c>
      <c r="Z676" s="8"/>
      <c r="AA676" s="8"/>
    </row>
    <row r="677" spans="1:27" ht="12.75">
      <c r="A677" s="8"/>
      <c r="B677" s="47" t="s">
        <v>237</v>
      </c>
      <c r="C677" s="48"/>
      <c r="D677" s="48"/>
      <c r="E677" s="49"/>
      <c r="F677" s="43"/>
      <c r="G677" s="43"/>
      <c r="H677" s="43"/>
      <c r="I677" s="43"/>
      <c r="J677" s="43"/>
      <c r="K677" s="45"/>
      <c r="L677" s="53"/>
      <c r="M677" s="43"/>
      <c r="N677" s="43"/>
      <c r="O677" s="43"/>
      <c r="P677" s="53"/>
      <c r="Q677" s="43"/>
      <c r="R677" s="43"/>
      <c r="S677" s="43"/>
      <c r="T677" s="43"/>
      <c r="U677" s="43"/>
      <c r="V677" s="43"/>
      <c r="W677" s="43"/>
      <c r="X677" s="43"/>
      <c r="Y677" s="43"/>
      <c r="Z677" s="8"/>
      <c r="AA677" s="8"/>
    </row>
    <row r="678" spans="1:27" ht="12.75">
      <c r="A678" s="8"/>
      <c r="B678" s="50"/>
      <c r="C678" s="51"/>
      <c r="D678" s="51"/>
      <c r="E678" s="52"/>
      <c r="F678" s="44"/>
      <c r="G678" s="44"/>
      <c r="H678" s="44"/>
      <c r="I678" s="44"/>
      <c r="J678" s="44"/>
      <c r="K678" s="36"/>
      <c r="L678" s="36"/>
      <c r="M678" s="44"/>
      <c r="N678" s="44"/>
      <c r="O678" s="44"/>
      <c r="P678" s="36"/>
      <c r="Q678" s="44"/>
      <c r="R678" s="44"/>
      <c r="S678" s="44"/>
      <c r="T678" s="44"/>
      <c r="U678" s="44"/>
      <c r="V678" s="44"/>
      <c r="W678" s="44"/>
      <c r="X678" s="44"/>
      <c r="Y678" s="44"/>
      <c r="Z678" s="8"/>
      <c r="AA678" s="8"/>
    </row>
    <row r="679" spans="1:27" ht="15">
      <c r="A679" s="8"/>
      <c r="B679" s="40"/>
      <c r="C679" s="41"/>
      <c r="D679" s="41"/>
      <c r="E679" s="42"/>
      <c r="F679" s="17" t="s">
        <v>17</v>
      </c>
      <c r="G679" s="18">
        <f>COUNTIF(F677:G678,"✔")</f>
        <v>0</v>
      </c>
      <c r="H679" s="17" t="s">
        <v>18</v>
      </c>
      <c r="I679" s="18">
        <f>COUNTIF(H677:I678,"a")</f>
        <v>0</v>
      </c>
      <c r="J679" s="17" t="s">
        <v>17</v>
      </c>
      <c r="K679" s="18">
        <f>COUNTIF(J677:K678,"✔")</f>
        <v>0</v>
      </c>
      <c r="L679" s="17" t="s">
        <v>18</v>
      </c>
      <c r="M679" s="18">
        <f>COUNTIF(L677:M678,"a")</f>
        <v>0</v>
      </c>
      <c r="N679" s="17" t="s">
        <v>17</v>
      </c>
      <c r="O679" s="18">
        <f>COUNTIF(N677:O678,"✔")</f>
        <v>0</v>
      </c>
      <c r="P679" s="17" t="s">
        <v>18</v>
      </c>
      <c r="Q679" s="18">
        <f>COUNTIF(P677:Q678,"a")</f>
        <v>0</v>
      </c>
      <c r="R679" s="17" t="s">
        <v>17</v>
      </c>
      <c r="S679" s="18">
        <f>COUNTIF(R677:S678,"✔")</f>
        <v>0</v>
      </c>
      <c r="T679" s="17" t="s">
        <v>18</v>
      </c>
      <c r="U679" s="18">
        <f>COUNTIF(T677:U678,"a")</f>
        <v>0</v>
      </c>
      <c r="V679" s="17" t="s">
        <v>17</v>
      </c>
      <c r="W679" s="18">
        <f>COUNTIF(V677:W678,"✔")</f>
        <v>0</v>
      </c>
      <c r="X679" s="17" t="s">
        <v>18</v>
      </c>
      <c r="Y679" s="18">
        <f>COUNTIF(X677:Y678,"a")</f>
        <v>0</v>
      </c>
      <c r="Z679" s="8"/>
      <c r="AA679" s="8"/>
    </row>
    <row r="680" spans="1:27" ht="12.75">
      <c r="A680" s="8"/>
      <c r="B680" s="47" t="s">
        <v>238</v>
      </c>
      <c r="C680" s="48"/>
      <c r="D680" s="48"/>
      <c r="E680" s="49"/>
      <c r="F680" s="43"/>
      <c r="G680" s="43"/>
      <c r="H680" s="43"/>
      <c r="I680" s="43"/>
      <c r="J680" s="43"/>
      <c r="K680" s="45"/>
      <c r="L680" s="53"/>
      <c r="M680" s="43"/>
      <c r="N680" s="43"/>
      <c r="O680" s="43"/>
      <c r="P680" s="53"/>
      <c r="Q680" s="43"/>
      <c r="R680" s="43"/>
      <c r="S680" s="43"/>
      <c r="T680" s="43"/>
      <c r="U680" s="43"/>
      <c r="V680" s="43"/>
      <c r="W680" s="43"/>
      <c r="X680" s="43"/>
      <c r="Y680" s="43"/>
      <c r="Z680" s="8"/>
      <c r="AA680" s="8"/>
    </row>
    <row r="681" spans="1:27" ht="12.75">
      <c r="A681" s="8"/>
      <c r="B681" s="50"/>
      <c r="C681" s="51"/>
      <c r="D681" s="51"/>
      <c r="E681" s="52"/>
      <c r="F681" s="44"/>
      <c r="G681" s="44"/>
      <c r="H681" s="44"/>
      <c r="I681" s="44"/>
      <c r="J681" s="44"/>
      <c r="K681" s="36"/>
      <c r="L681" s="36"/>
      <c r="M681" s="44"/>
      <c r="N681" s="44"/>
      <c r="O681" s="44"/>
      <c r="P681" s="36"/>
      <c r="Q681" s="44"/>
      <c r="R681" s="44"/>
      <c r="S681" s="44"/>
      <c r="T681" s="44"/>
      <c r="U681" s="44"/>
      <c r="V681" s="44"/>
      <c r="W681" s="44"/>
      <c r="X681" s="44"/>
      <c r="Y681" s="44"/>
      <c r="Z681" s="8"/>
      <c r="AA681" s="8"/>
    </row>
    <row r="682" spans="1:27" ht="15">
      <c r="A682" s="8"/>
      <c r="B682" s="40"/>
      <c r="C682" s="41"/>
      <c r="D682" s="41"/>
      <c r="E682" s="42"/>
      <c r="F682" s="17" t="s">
        <v>17</v>
      </c>
      <c r="G682" s="18">
        <f>COUNTIF(F680:G681,"✔")</f>
        <v>0</v>
      </c>
      <c r="H682" s="17" t="s">
        <v>18</v>
      </c>
      <c r="I682" s="18">
        <f>COUNTIF(H680:I681,"a")</f>
        <v>0</v>
      </c>
      <c r="J682" s="17" t="s">
        <v>17</v>
      </c>
      <c r="K682" s="18">
        <f>COUNTIF(J680:K681,"✔")</f>
        <v>0</v>
      </c>
      <c r="L682" s="17" t="s">
        <v>18</v>
      </c>
      <c r="M682" s="18">
        <f>COUNTIF(L680:M681,"a")</f>
        <v>0</v>
      </c>
      <c r="N682" s="17" t="s">
        <v>17</v>
      </c>
      <c r="O682" s="18">
        <f>COUNTIF(N680:O681,"✔")</f>
        <v>0</v>
      </c>
      <c r="P682" s="17" t="s">
        <v>18</v>
      </c>
      <c r="Q682" s="18">
        <f>COUNTIF(P680:Q681,"a")</f>
        <v>0</v>
      </c>
      <c r="R682" s="17" t="s">
        <v>17</v>
      </c>
      <c r="S682" s="18">
        <f>COUNTIF(R680:S681,"✔")</f>
        <v>0</v>
      </c>
      <c r="T682" s="17" t="s">
        <v>18</v>
      </c>
      <c r="U682" s="18">
        <f>COUNTIF(T680:U681,"a")</f>
        <v>0</v>
      </c>
      <c r="V682" s="17" t="s">
        <v>17</v>
      </c>
      <c r="W682" s="18">
        <f>COUNTIF(V680:W681,"✔")</f>
        <v>0</v>
      </c>
      <c r="X682" s="17" t="s">
        <v>18</v>
      </c>
      <c r="Y682" s="18">
        <f>COUNTIF(X680:Y681,"a")</f>
        <v>0</v>
      </c>
      <c r="Z682" s="8"/>
      <c r="AA682" s="8"/>
    </row>
    <row r="683" spans="1:27" ht="12.75">
      <c r="A683" s="8"/>
      <c r="B683" s="47" t="s">
        <v>239</v>
      </c>
      <c r="C683" s="48"/>
      <c r="D683" s="48"/>
      <c r="E683" s="49"/>
      <c r="F683" s="43"/>
      <c r="G683" s="43"/>
      <c r="H683" s="43"/>
      <c r="I683" s="43"/>
      <c r="J683" s="43"/>
      <c r="K683" s="45"/>
      <c r="L683" s="43"/>
      <c r="M683" s="43"/>
      <c r="N683" s="43"/>
      <c r="O683" s="43"/>
      <c r="P683" s="53"/>
      <c r="Q683" s="43"/>
      <c r="R683" s="43"/>
      <c r="S683" s="43"/>
      <c r="T683" s="43"/>
      <c r="U683" s="43"/>
      <c r="V683" s="43"/>
      <c r="W683" s="43"/>
      <c r="X683" s="43"/>
      <c r="Y683" s="43"/>
      <c r="Z683" s="8"/>
      <c r="AA683" s="8"/>
    </row>
    <row r="684" spans="1:27" ht="12.75">
      <c r="A684" s="8"/>
      <c r="B684" s="50"/>
      <c r="C684" s="51"/>
      <c r="D684" s="51"/>
      <c r="E684" s="52"/>
      <c r="F684" s="44"/>
      <c r="G684" s="44"/>
      <c r="H684" s="44"/>
      <c r="I684" s="44"/>
      <c r="J684" s="44"/>
      <c r="K684" s="36"/>
      <c r="L684" s="44"/>
      <c r="M684" s="44"/>
      <c r="N684" s="44"/>
      <c r="O684" s="44"/>
      <c r="P684" s="36"/>
      <c r="Q684" s="44"/>
      <c r="R684" s="44"/>
      <c r="S684" s="44"/>
      <c r="T684" s="44"/>
      <c r="U684" s="44"/>
      <c r="V684" s="44"/>
      <c r="W684" s="44"/>
      <c r="X684" s="44"/>
      <c r="Y684" s="44"/>
      <c r="Z684" s="8"/>
      <c r="AA684" s="8"/>
    </row>
    <row r="685" spans="1:27" ht="15">
      <c r="A685" s="8"/>
      <c r="B685" s="40"/>
      <c r="C685" s="41"/>
      <c r="D685" s="41"/>
      <c r="E685" s="42"/>
      <c r="F685" s="17" t="s">
        <v>17</v>
      </c>
      <c r="G685" s="18">
        <f>COUNTIF(F683:G684,"✔")</f>
        <v>0</v>
      </c>
      <c r="H685" s="17" t="s">
        <v>18</v>
      </c>
      <c r="I685" s="18">
        <f>COUNTIF(H683:I684,"a")</f>
        <v>0</v>
      </c>
      <c r="J685" s="17" t="s">
        <v>17</v>
      </c>
      <c r="K685" s="18">
        <f>COUNTIF(J683:K684,"✔")</f>
        <v>0</v>
      </c>
      <c r="L685" s="17" t="s">
        <v>18</v>
      </c>
      <c r="M685" s="18">
        <f>COUNTIF(L683:M684,"a")</f>
        <v>0</v>
      </c>
      <c r="N685" s="17" t="s">
        <v>17</v>
      </c>
      <c r="O685" s="18">
        <f>COUNTIF(N683:O684,"✔")</f>
        <v>0</v>
      </c>
      <c r="P685" s="17" t="s">
        <v>18</v>
      </c>
      <c r="Q685" s="18">
        <f>COUNTIF(P683:Q684,"a")</f>
        <v>0</v>
      </c>
      <c r="R685" s="17" t="s">
        <v>17</v>
      </c>
      <c r="S685" s="18">
        <f>COUNTIF(R683:S684,"✔")</f>
        <v>0</v>
      </c>
      <c r="T685" s="17" t="s">
        <v>18</v>
      </c>
      <c r="U685" s="18">
        <f>COUNTIF(T683:U684,"a")</f>
        <v>0</v>
      </c>
      <c r="V685" s="17" t="s">
        <v>17</v>
      </c>
      <c r="W685" s="18">
        <f>COUNTIF(V683:W684,"✔")</f>
        <v>0</v>
      </c>
      <c r="X685" s="17" t="s">
        <v>18</v>
      </c>
      <c r="Y685" s="18">
        <f>COUNTIF(X683:Y684,"a")</f>
        <v>0</v>
      </c>
      <c r="Z685" s="8"/>
      <c r="AA685" s="8"/>
    </row>
    <row r="686" spans="1:27" ht="12.75">
      <c r="A686" s="8"/>
      <c r="B686" s="47" t="s">
        <v>240</v>
      </c>
      <c r="C686" s="48"/>
      <c r="D686" s="48"/>
      <c r="E686" s="49"/>
      <c r="F686" s="43"/>
      <c r="G686" s="43"/>
      <c r="H686" s="43"/>
      <c r="I686" s="43"/>
      <c r="J686" s="43"/>
      <c r="K686" s="45"/>
      <c r="L686" s="43"/>
      <c r="M686" s="43"/>
      <c r="N686" s="43"/>
      <c r="O686" s="43"/>
      <c r="P686" s="53"/>
      <c r="Q686" s="43"/>
      <c r="R686" s="43"/>
      <c r="S686" s="43"/>
      <c r="T686" s="43"/>
      <c r="U686" s="43"/>
      <c r="V686" s="43"/>
      <c r="W686" s="43"/>
      <c r="X686" s="43"/>
      <c r="Y686" s="43"/>
      <c r="Z686" s="8"/>
      <c r="AA686" s="8"/>
    </row>
    <row r="687" spans="1:27" ht="12.75">
      <c r="A687" s="8"/>
      <c r="B687" s="50"/>
      <c r="C687" s="51"/>
      <c r="D687" s="51"/>
      <c r="E687" s="52"/>
      <c r="F687" s="44"/>
      <c r="G687" s="44"/>
      <c r="H687" s="44"/>
      <c r="I687" s="44"/>
      <c r="J687" s="44"/>
      <c r="K687" s="36"/>
      <c r="L687" s="44"/>
      <c r="M687" s="44"/>
      <c r="N687" s="44"/>
      <c r="O687" s="44"/>
      <c r="P687" s="36"/>
      <c r="Q687" s="44"/>
      <c r="R687" s="44"/>
      <c r="S687" s="44"/>
      <c r="T687" s="44"/>
      <c r="U687" s="44"/>
      <c r="V687" s="44"/>
      <c r="W687" s="44"/>
      <c r="X687" s="44"/>
      <c r="Y687" s="44"/>
      <c r="Z687" s="8"/>
      <c r="AA687" s="8"/>
    </row>
    <row r="688" spans="1:27" ht="15">
      <c r="A688" s="8"/>
      <c r="B688" s="40"/>
      <c r="C688" s="41"/>
      <c r="D688" s="41"/>
      <c r="E688" s="42"/>
      <c r="F688" s="17" t="s">
        <v>17</v>
      </c>
      <c r="G688" s="18">
        <f>COUNTIF(F686:G687,"✔")</f>
        <v>0</v>
      </c>
      <c r="H688" s="17" t="s">
        <v>18</v>
      </c>
      <c r="I688" s="18">
        <f>COUNTIF(H686:I687,"a")</f>
        <v>0</v>
      </c>
      <c r="J688" s="17" t="s">
        <v>17</v>
      </c>
      <c r="K688" s="18">
        <f>COUNTIF(J686:K687,"✔")</f>
        <v>0</v>
      </c>
      <c r="L688" s="17" t="s">
        <v>18</v>
      </c>
      <c r="M688" s="18">
        <f>COUNTIF(L686:M687,"a")</f>
        <v>0</v>
      </c>
      <c r="N688" s="17" t="s">
        <v>17</v>
      </c>
      <c r="O688" s="18">
        <f>COUNTIF(N686:O687,"✔")</f>
        <v>0</v>
      </c>
      <c r="P688" s="17" t="s">
        <v>18</v>
      </c>
      <c r="Q688" s="18">
        <f>COUNTIF(P686:Q687,"a")</f>
        <v>0</v>
      </c>
      <c r="R688" s="17" t="s">
        <v>17</v>
      </c>
      <c r="S688" s="18">
        <f>COUNTIF(R686:S687,"✔")</f>
        <v>0</v>
      </c>
      <c r="T688" s="17" t="s">
        <v>18</v>
      </c>
      <c r="U688" s="18">
        <f>COUNTIF(T686:U687,"a")</f>
        <v>0</v>
      </c>
      <c r="V688" s="17" t="s">
        <v>17</v>
      </c>
      <c r="W688" s="18">
        <f>COUNTIF(V686:W687,"✔")</f>
        <v>0</v>
      </c>
      <c r="X688" s="17" t="s">
        <v>18</v>
      </c>
      <c r="Y688" s="18">
        <f>COUNTIF(X686:Y687,"a")</f>
        <v>0</v>
      </c>
      <c r="Z688" s="8"/>
      <c r="AA688" s="8"/>
    </row>
    <row r="689" spans="1:27" ht="12.75">
      <c r="A689" s="8"/>
      <c r="B689" s="47" t="s">
        <v>241</v>
      </c>
      <c r="C689" s="48"/>
      <c r="D689" s="48"/>
      <c r="E689" s="49"/>
      <c r="F689" s="43"/>
      <c r="G689" s="43"/>
      <c r="H689" s="43"/>
      <c r="I689" s="43"/>
      <c r="J689" s="43"/>
      <c r="K689" s="45"/>
      <c r="L689" s="43"/>
      <c r="M689" s="43"/>
      <c r="N689" s="43"/>
      <c r="O689" s="43"/>
      <c r="P689" s="53"/>
      <c r="Q689" s="43"/>
      <c r="R689" s="43"/>
      <c r="S689" s="43"/>
      <c r="T689" s="43"/>
      <c r="U689" s="43"/>
      <c r="V689" s="43"/>
      <c r="W689" s="43"/>
      <c r="X689" s="43"/>
      <c r="Y689" s="43"/>
      <c r="Z689" s="8"/>
      <c r="AA689" s="8"/>
    </row>
    <row r="690" spans="1:27" ht="12.75">
      <c r="A690" s="8"/>
      <c r="B690" s="50"/>
      <c r="C690" s="51"/>
      <c r="D690" s="51"/>
      <c r="E690" s="52"/>
      <c r="F690" s="44"/>
      <c r="G690" s="44"/>
      <c r="H690" s="44"/>
      <c r="I690" s="44"/>
      <c r="J690" s="44"/>
      <c r="K690" s="36"/>
      <c r="L690" s="44"/>
      <c r="M690" s="44"/>
      <c r="N690" s="44"/>
      <c r="O690" s="44"/>
      <c r="P690" s="36"/>
      <c r="Q690" s="44"/>
      <c r="R690" s="44"/>
      <c r="S690" s="44"/>
      <c r="T690" s="44"/>
      <c r="U690" s="44"/>
      <c r="V690" s="44"/>
      <c r="W690" s="44"/>
      <c r="X690" s="44"/>
      <c r="Y690" s="44"/>
      <c r="Z690" s="8"/>
      <c r="AA690" s="8"/>
    </row>
    <row r="691" spans="1:27" ht="15">
      <c r="A691" s="8"/>
      <c r="B691" s="40"/>
      <c r="C691" s="41"/>
      <c r="D691" s="41"/>
      <c r="E691" s="42"/>
      <c r="F691" s="17" t="s">
        <v>17</v>
      </c>
      <c r="G691" s="18">
        <f>COUNTIF(F689:G690,"✔")</f>
        <v>0</v>
      </c>
      <c r="H691" s="17" t="s">
        <v>18</v>
      </c>
      <c r="I691" s="18">
        <f>COUNTIF(H689:I690,"a")</f>
        <v>0</v>
      </c>
      <c r="J691" s="17" t="s">
        <v>17</v>
      </c>
      <c r="K691" s="18">
        <f>COUNTIF(J689:K690,"✔")</f>
        <v>0</v>
      </c>
      <c r="L691" s="17" t="s">
        <v>18</v>
      </c>
      <c r="M691" s="18">
        <f>COUNTIF(L689:M690,"a")</f>
        <v>0</v>
      </c>
      <c r="N691" s="17" t="s">
        <v>17</v>
      </c>
      <c r="O691" s="18">
        <f>COUNTIF(N689:O690,"✔")</f>
        <v>0</v>
      </c>
      <c r="P691" s="17" t="s">
        <v>18</v>
      </c>
      <c r="Q691" s="18">
        <f>COUNTIF(P689:Q690,"a")</f>
        <v>0</v>
      </c>
      <c r="R691" s="17" t="s">
        <v>17</v>
      </c>
      <c r="S691" s="18">
        <f>COUNTIF(R689:S690,"✔")</f>
        <v>0</v>
      </c>
      <c r="T691" s="17" t="s">
        <v>18</v>
      </c>
      <c r="U691" s="18">
        <f>COUNTIF(T689:U690,"a")</f>
        <v>0</v>
      </c>
      <c r="V691" s="17" t="s">
        <v>17</v>
      </c>
      <c r="W691" s="18">
        <f>COUNTIF(V689:W690,"✔")</f>
        <v>0</v>
      </c>
      <c r="X691" s="17" t="s">
        <v>18</v>
      </c>
      <c r="Y691" s="18">
        <f>COUNTIF(X689:Y690,"a")</f>
        <v>0</v>
      </c>
      <c r="Z691" s="8"/>
      <c r="AA691" s="8"/>
    </row>
    <row r="692" spans="1:27" ht="12.75">
      <c r="A692" s="8"/>
      <c r="B692" s="47" t="s">
        <v>242</v>
      </c>
      <c r="C692" s="48"/>
      <c r="D692" s="48"/>
      <c r="E692" s="49"/>
      <c r="F692" s="43"/>
      <c r="G692" s="43"/>
      <c r="H692" s="43"/>
      <c r="I692" s="43"/>
      <c r="J692" s="43"/>
      <c r="K692" s="45"/>
      <c r="L692" s="43"/>
      <c r="M692" s="43"/>
      <c r="N692" s="43"/>
      <c r="O692" s="43"/>
      <c r="P692" s="53"/>
      <c r="Q692" s="43"/>
      <c r="R692" s="43"/>
      <c r="S692" s="43"/>
      <c r="T692" s="43"/>
      <c r="U692" s="43"/>
      <c r="V692" s="43"/>
      <c r="W692" s="43"/>
      <c r="X692" s="43"/>
      <c r="Y692" s="43"/>
      <c r="Z692" s="8"/>
      <c r="AA692" s="8"/>
    </row>
    <row r="693" spans="1:27" ht="12.75">
      <c r="A693" s="8"/>
      <c r="B693" s="50"/>
      <c r="C693" s="51"/>
      <c r="D693" s="51"/>
      <c r="E693" s="52"/>
      <c r="F693" s="44"/>
      <c r="G693" s="44"/>
      <c r="H693" s="44"/>
      <c r="I693" s="44"/>
      <c r="J693" s="44"/>
      <c r="K693" s="36"/>
      <c r="L693" s="44"/>
      <c r="M693" s="44"/>
      <c r="N693" s="44"/>
      <c r="O693" s="44"/>
      <c r="P693" s="36"/>
      <c r="Q693" s="44"/>
      <c r="R693" s="44"/>
      <c r="S693" s="44"/>
      <c r="T693" s="44"/>
      <c r="U693" s="44"/>
      <c r="V693" s="44"/>
      <c r="W693" s="44"/>
      <c r="X693" s="44"/>
      <c r="Y693" s="44"/>
      <c r="Z693" s="8"/>
      <c r="AA693" s="8"/>
    </row>
    <row r="694" spans="1:27" ht="15">
      <c r="A694" s="8"/>
      <c r="B694" s="40"/>
      <c r="C694" s="41"/>
      <c r="D694" s="41"/>
      <c r="E694" s="42"/>
      <c r="F694" s="17" t="s">
        <v>17</v>
      </c>
      <c r="G694" s="18">
        <f>COUNTIF(F692:G693,"✔")</f>
        <v>0</v>
      </c>
      <c r="H694" s="17" t="s">
        <v>18</v>
      </c>
      <c r="I694" s="18">
        <f>COUNTIF(H692:I693,"a")</f>
        <v>0</v>
      </c>
      <c r="J694" s="17" t="s">
        <v>17</v>
      </c>
      <c r="K694" s="18">
        <f>COUNTIF(J692:K693,"✔")</f>
        <v>0</v>
      </c>
      <c r="L694" s="17" t="s">
        <v>18</v>
      </c>
      <c r="M694" s="18">
        <f>COUNTIF(L692:M693,"a")</f>
        <v>0</v>
      </c>
      <c r="N694" s="17" t="s">
        <v>17</v>
      </c>
      <c r="O694" s="18">
        <f>COUNTIF(N692:O693,"✔")</f>
        <v>0</v>
      </c>
      <c r="P694" s="17" t="s">
        <v>18</v>
      </c>
      <c r="Q694" s="18">
        <f>COUNTIF(P692:Q693,"a")</f>
        <v>0</v>
      </c>
      <c r="R694" s="17" t="s">
        <v>17</v>
      </c>
      <c r="S694" s="18">
        <f>COUNTIF(R692:S693,"✔")</f>
        <v>0</v>
      </c>
      <c r="T694" s="17" t="s">
        <v>18</v>
      </c>
      <c r="U694" s="18">
        <f>COUNTIF(T692:U693,"a")</f>
        <v>0</v>
      </c>
      <c r="V694" s="17" t="s">
        <v>17</v>
      </c>
      <c r="W694" s="18">
        <f>COUNTIF(V692:W693,"✔")</f>
        <v>0</v>
      </c>
      <c r="X694" s="17" t="s">
        <v>18</v>
      </c>
      <c r="Y694" s="18">
        <f>COUNTIF(X692:Y693,"a")</f>
        <v>0</v>
      </c>
      <c r="Z694" s="8"/>
      <c r="AA694" s="8"/>
    </row>
    <row r="695" spans="1:27" ht="12.75">
      <c r="A695" s="8"/>
      <c r="B695" s="47" t="s">
        <v>243</v>
      </c>
      <c r="C695" s="48"/>
      <c r="D695" s="48"/>
      <c r="E695" s="49"/>
      <c r="F695" s="43"/>
      <c r="G695" s="43"/>
      <c r="H695" s="43"/>
      <c r="I695" s="43"/>
      <c r="J695" s="43"/>
      <c r="K695" s="45"/>
      <c r="L695" s="43"/>
      <c r="M695" s="43"/>
      <c r="N695" s="43"/>
      <c r="O695" s="43"/>
      <c r="P695" s="53"/>
      <c r="Q695" s="43"/>
      <c r="R695" s="43"/>
      <c r="S695" s="43"/>
      <c r="T695" s="43"/>
      <c r="U695" s="43"/>
      <c r="V695" s="43"/>
      <c r="W695" s="43"/>
      <c r="X695" s="43"/>
      <c r="Y695" s="43"/>
      <c r="Z695" s="8"/>
      <c r="AA695" s="8"/>
    </row>
    <row r="696" spans="1:27" ht="12.75">
      <c r="A696" s="8"/>
      <c r="B696" s="50"/>
      <c r="C696" s="51"/>
      <c r="D696" s="51"/>
      <c r="E696" s="52"/>
      <c r="F696" s="44"/>
      <c r="G696" s="44"/>
      <c r="H696" s="44"/>
      <c r="I696" s="44"/>
      <c r="J696" s="44"/>
      <c r="K696" s="36"/>
      <c r="L696" s="44"/>
      <c r="M696" s="44"/>
      <c r="N696" s="44"/>
      <c r="O696" s="44"/>
      <c r="P696" s="36"/>
      <c r="Q696" s="44"/>
      <c r="R696" s="44"/>
      <c r="S696" s="44"/>
      <c r="T696" s="44"/>
      <c r="U696" s="44"/>
      <c r="V696" s="44"/>
      <c r="W696" s="44"/>
      <c r="X696" s="44"/>
      <c r="Y696" s="44"/>
      <c r="Z696" s="8"/>
      <c r="AA696" s="8"/>
    </row>
    <row r="697" spans="1:27" ht="15">
      <c r="A697" s="8"/>
      <c r="B697" s="40"/>
      <c r="C697" s="41"/>
      <c r="D697" s="41"/>
      <c r="E697" s="42"/>
      <c r="F697" s="17" t="s">
        <v>17</v>
      </c>
      <c r="G697" s="18">
        <f>COUNTIF(F695:G696,"✔")</f>
        <v>0</v>
      </c>
      <c r="H697" s="17" t="s">
        <v>18</v>
      </c>
      <c r="I697" s="18">
        <f>COUNTIF(H695:I696,"a")</f>
        <v>0</v>
      </c>
      <c r="J697" s="17" t="s">
        <v>17</v>
      </c>
      <c r="K697" s="18">
        <f>COUNTIF(J695:K696,"✔")</f>
        <v>0</v>
      </c>
      <c r="L697" s="17" t="s">
        <v>18</v>
      </c>
      <c r="M697" s="18">
        <f>COUNTIF(L695:M696,"a")</f>
        <v>0</v>
      </c>
      <c r="N697" s="17" t="s">
        <v>17</v>
      </c>
      <c r="O697" s="18">
        <f>COUNTIF(N695:O696,"✔")</f>
        <v>0</v>
      </c>
      <c r="P697" s="17" t="s">
        <v>18</v>
      </c>
      <c r="Q697" s="18">
        <f>COUNTIF(P695:Q696,"a")</f>
        <v>0</v>
      </c>
      <c r="R697" s="17" t="s">
        <v>17</v>
      </c>
      <c r="S697" s="18">
        <f>COUNTIF(R695:S696,"✔")</f>
        <v>0</v>
      </c>
      <c r="T697" s="17" t="s">
        <v>18</v>
      </c>
      <c r="U697" s="18">
        <f>COUNTIF(T695:U696,"a")</f>
        <v>0</v>
      </c>
      <c r="V697" s="17" t="s">
        <v>17</v>
      </c>
      <c r="W697" s="18">
        <f>COUNTIF(V695:W696,"✔")</f>
        <v>0</v>
      </c>
      <c r="X697" s="17" t="s">
        <v>18</v>
      </c>
      <c r="Y697" s="18">
        <f>COUNTIF(X695:Y696,"a")</f>
        <v>0</v>
      </c>
      <c r="Z697" s="8"/>
      <c r="AA697" s="8"/>
    </row>
    <row r="698" spans="1:27" ht="12.75">
      <c r="A698" s="8"/>
      <c r="B698" s="47" t="s">
        <v>244</v>
      </c>
      <c r="C698" s="48"/>
      <c r="D698" s="48"/>
      <c r="E698" s="49"/>
      <c r="F698" s="43"/>
      <c r="G698" s="43"/>
      <c r="H698" s="43"/>
      <c r="I698" s="43"/>
      <c r="J698" s="43"/>
      <c r="K698" s="45"/>
      <c r="L698" s="43"/>
      <c r="M698" s="43"/>
      <c r="N698" s="43"/>
      <c r="O698" s="43"/>
      <c r="P698" s="53"/>
      <c r="Q698" s="43"/>
      <c r="R698" s="43"/>
      <c r="S698" s="43"/>
      <c r="T698" s="43"/>
      <c r="U698" s="43"/>
      <c r="V698" s="43"/>
      <c r="W698" s="43"/>
      <c r="X698" s="43"/>
      <c r="Y698" s="43"/>
      <c r="Z698" s="8"/>
      <c r="AA698" s="8"/>
    </row>
    <row r="699" spans="1:27" ht="12.75">
      <c r="A699" s="8"/>
      <c r="B699" s="50"/>
      <c r="C699" s="51"/>
      <c r="D699" s="51"/>
      <c r="E699" s="52"/>
      <c r="F699" s="44"/>
      <c r="G699" s="44"/>
      <c r="H699" s="44"/>
      <c r="I699" s="44"/>
      <c r="J699" s="44"/>
      <c r="K699" s="36"/>
      <c r="L699" s="44"/>
      <c r="M699" s="44"/>
      <c r="N699" s="44"/>
      <c r="O699" s="44"/>
      <c r="P699" s="36"/>
      <c r="Q699" s="44"/>
      <c r="R699" s="44"/>
      <c r="S699" s="44"/>
      <c r="T699" s="44"/>
      <c r="U699" s="44"/>
      <c r="V699" s="44"/>
      <c r="W699" s="44"/>
      <c r="X699" s="44"/>
      <c r="Y699" s="44"/>
      <c r="Z699" s="8"/>
      <c r="AA699" s="8"/>
    </row>
    <row r="700" spans="1:27" ht="15">
      <c r="A700" s="8"/>
      <c r="B700" s="40"/>
      <c r="C700" s="41"/>
      <c r="D700" s="41"/>
      <c r="E700" s="42"/>
      <c r="F700" s="17" t="s">
        <v>17</v>
      </c>
      <c r="G700" s="18">
        <f>COUNTIF(F698:G699,"✔")</f>
        <v>0</v>
      </c>
      <c r="H700" s="17" t="s">
        <v>18</v>
      </c>
      <c r="I700" s="18">
        <f>COUNTIF(H698:I699,"a")</f>
        <v>0</v>
      </c>
      <c r="J700" s="17" t="s">
        <v>17</v>
      </c>
      <c r="K700" s="18">
        <f>COUNTIF(J698:K699,"✔")</f>
        <v>0</v>
      </c>
      <c r="L700" s="17" t="s">
        <v>18</v>
      </c>
      <c r="M700" s="18">
        <f>COUNTIF(L698:M699,"a")</f>
        <v>0</v>
      </c>
      <c r="N700" s="17" t="s">
        <v>17</v>
      </c>
      <c r="O700" s="18">
        <f>COUNTIF(N698:O699,"✔")</f>
        <v>0</v>
      </c>
      <c r="P700" s="17" t="s">
        <v>18</v>
      </c>
      <c r="Q700" s="18">
        <f>COUNTIF(P698:Q699,"a")</f>
        <v>0</v>
      </c>
      <c r="R700" s="17" t="s">
        <v>17</v>
      </c>
      <c r="S700" s="18">
        <f>COUNTIF(R698:S699,"✔")</f>
        <v>0</v>
      </c>
      <c r="T700" s="17" t="s">
        <v>18</v>
      </c>
      <c r="U700" s="18">
        <f>COUNTIF(T698:U699,"a")</f>
        <v>0</v>
      </c>
      <c r="V700" s="17" t="s">
        <v>17</v>
      </c>
      <c r="W700" s="18">
        <f>COUNTIF(V698:W699,"✔")</f>
        <v>0</v>
      </c>
      <c r="X700" s="17" t="s">
        <v>18</v>
      </c>
      <c r="Y700" s="18">
        <f>COUNTIF(X698:Y699,"a")</f>
        <v>0</v>
      </c>
      <c r="Z700" s="8"/>
      <c r="AA700" s="8"/>
    </row>
    <row r="701" spans="1:27" ht="12.75">
      <c r="A701" s="8"/>
      <c r="B701" s="47" t="s">
        <v>245</v>
      </c>
      <c r="C701" s="48"/>
      <c r="D701" s="48"/>
      <c r="E701" s="49"/>
      <c r="F701" s="43"/>
      <c r="G701" s="43"/>
      <c r="H701" s="43"/>
      <c r="I701" s="43"/>
      <c r="J701" s="43"/>
      <c r="K701" s="45"/>
      <c r="L701" s="43"/>
      <c r="M701" s="43"/>
      <c r="N701" s="43"/>
      <c r="O701" s="43"/>
      <c r="P701" s="53"/>
      <c r="Q701" s="43"/>
      <c r="R701" s="43"/>
      <c r="S701" s="43"/>
      <c r="T701" s="53"/>
      <c r="U701" s="43"/>
      <c r="V701" s="43"/>
      <c r="W701" s="43"/>
      <c r="X701" s="53"/>
      <c r="Y701" s="43"/>
      <c r="Z701" s="8"/>
      <c r="AA701" s="8"/>
    </row>
    <row r="702" spans="1:27" ht="12.75">
      <c r="A702" s="8"/>
      <c r="B702" s="50"/>
      <c r="C702" s="51"/>
      <c r="D702" s="51"/>
      <c r="E702" s="52"/>
      <c r="F702" s="44"/>
      <c r="G702" s="44"/>
      <c r="H702" s="44"/>
      <c r="I702" s="44"/>
      <c r="J702" s="44"/>
      <c r="K702" s="36"/>
      <c r="L702" s="44"/>
      <c r="M702" s="44"/>
      <c r="N702" s="44"/>
      <c r="O702" s="44"/>
      <c r="P702" s="36"/>
      <c r="Q702" s="44"/>
      <c r="R702" s="44"/>
      <c r="S702" s="44"/>
      <c r="T702" s="36"/>
      <c r="U702" s="44"/>
      <c r="V702" s="44"/>
      <c r="W702" s="44"/>
      <c r="X702" s="36"/>
      <c r="Y702" s="44"/>
      <c r="Z702" s="8"/>
      <c r="AA702" s="8"/>
    </row>
    <row r="703" spans="1:27" ht="15">
      <c r="A703" s="8"/>
      <c r="B703" s="40"/>
      <c r="C703" s="41"/>
      <c r="D703" s="41"/>
      <c r="E703" s="42"/>
      <c r="F703" s="17" t="s">
        <v>17</v>
      </c>
      <c r="G703" s="18">
        <f>COUNTIF(F701:G702,"✔")</f>
        <v>0</v>
      </c>
      <c r="H703" s="17" t="s">
        <v>18</v>
      </c>
      <c r="I703" s="18">
        <f>COUNTIF(H701:I702,"a")</f>
        <v>0</v>
      </c>
      <c r="J703" s="17" t="s">
        <v>17</v>
      </c>
      <c r="K703" s="18">
        <f>COUNTIF(J701:K702,"✔")</f>
        <v>0</v>
      </c>
      <c r="L703" s="17" t="s">
        <v>18</v>
      </c>
      <c r="M703" s="18">
        <f>COUNTIF(L701:M702,"a")</f>
        <v>0</v>
      </c>
      <c r="N703" s="17" t="s">
        <v>17</v>
      </c>
      <c r="O703" s="18">
        <f>COUNTIF(N701:O702,"✔")</f>
        <v>0</v>
      </c>
      <c r="P703" s="17" t="s">
        <v>18</v>
      </c>
      <c r="Q703" s="18">
        <f>COUNTIF(P701:Q702,"a")</f>
        <v>0</v>
      </c>
      <c r="R703" s="17" t="s">
        <v>17</v>
      </c>
      <c r="S703" s="18">
        <f>COUNTIF(R701:S702,"✔")</f>
        <v>0</v>
      </c>
      <c r="T703" s="17" t="s">
        <v>18</v>
      </c>
      <c r="U703" s="18">
        <f>COUNTIF(T701:U702,"a")</f>
        <v>0</v>
      </c>
      <c r="V703" s="17" t="s">
        <v>17</v>
      </c>
      <c r="W703" s="18">
        <f>COUNTIF(V701:W702,"✔")</f>
        <v>0</v>
      </c>
      <c r="X703" s="17" t="s">
        <v>18</v>
      </c>
      <c r="Y703" s="18">
        <f>COUNTIF(X701:Y702,"a")</f>
        <v>0</v>
      </c>
      <c r="Z703" s="8"/>
      <c r="AA703" s="8"/>
    </row>
    <row r="704" spans="1:27" ht="12.75">
      <c r="A704" s="8"/>
      <c r="B704" s="47" t="s">
        <v>246</v>
      </c>
      <c r="C704" s="48"/>
      <c r="D704" s="48"/>
      <c r="E704" s="49"/>
      <c r="F704" s="43"/>
      <c r="G704" s="43"/>
      <c r="H704" s="43"/>
      <c r="I704" s="43"/>
      <c r="J704" s="43"/>
      <c r="K704" s="45"/>
      <c r="L704" s="43"/>
      <c r="M704" s="43"/>
      <c r="N704" s="43"/>
      <c r="O704" s="43"/>
      <c r="P704" s="53"/>
      <c r="Q704" s="43"/>
      <c r="R704" s="43"/>
      <c r="S704" s="43"/>
      <c r="T704" s="53"/>
      <c r="U704" s="43"/>
      <c r="V704" s="43"/>
      <c r="W704" s="43"/>
      <c r="X704" s="53"/>
      <c r="Y704" s="43"/>
      <c r="Z704" s="8"/>
      <c r="AA704" s="8"/>
    </row>
    <row r="705" spans="1:27" ht="12.75">
      <c r="A705" s="8"/>
      <c r="B705" s="50"/>
      <c r="C705" s="51"/>
      <c r="D705" s="51"/>
      <c r="E705" s="52"/>
      <c r="F705" s="44"/>
      <c r="G705" s="44"/>
      <c r="H705" s="44"/>
      <c r="I705" s="44"/>
      <c r="J705" s="44"/>
      <c r="K705" s="36"/>
      <c r="L705" s="44"/>
      <c r="M705" s="44"/>
      <c r="N705" s="44"/>
      <c r="O705" s="44"/>
      <c r="P705" s="36"/>
      <c r="Q705" s="44"/>
      <c r="R705" s="44"/>
      <c r="S705" s="44"/>
      <c r="T705" s="36"/>
      <c r="U705" s="44"/>
      <c r="V705" s="44"/>
      <c r="W705" s="44"/>
      <c r="X705" s="36"/>
      <c r="Y705" s="44"/>
      <c r="Z705" s="8"/>
      <c r="AA705" s="8"/>
    </row>
    <row r="706" spans="1:27" ht="15">
      <c r="A706" s="8"/>
      <c r="B706" s="40"/>
      <c r="C706" s="41"/>
      <c r="D706" s="41"/>
      <c r="E706" s="42"/>
      <c r="F706" s="17" t="s">
        <v>17</v>
      </c>
      <c r="G706" s="18">
        <f>COUNTIF(F704:G705,"✔")</f>
        <v>0</v>
      </c>
      <c r="H706" s="17" t="s">
        <v>18</v>
      </c>
      <c r="I706" s="18">
        <f>COUNTIF(H704:I705,"a")</f>
        <v>0</v>
      </c>
      <c r="J706" s="17" t="s">
        <v>17</v>
      </c>
      <c r="K706" s="18">
        <f>COUNTIF(J704:K705,"✔")</f>
        <v>0</v>
      </c>
      <c r="L706" s="17" t="s">
        <v>18</v>
      </c>
      <c r="M706" s="18">
        <f>COUNTIF(L704:M705,"a")</f>
        <v>0</v>
      </c>
      <c r="N706" s="17" t="s">
        <v>17</v>
      </c>
      <c r="O706" s="18">
        <f>COUNTIF(N704:O705,"✔")</f>
        <v>0</v>
      </c>
      <c r="P706" s="17" t="s">
        <v>18</v>
      </c>
      <c r="Q706" s="18">
        <f>COUNTIF(P704:Q705,"a")</f>
        <v>0</v>
      </c>
      <c r="R706" s="17" t="s">
        <v>17</v>
      </c>
      <c r="S706" s="18">
        <f>COUNTIF(R704:S705,"✔")</f>
        <v>0</v>
      </c>
      <c r="T706" s="17" t="s">
        <v>18</v>
      </c>
      <c r="U706" s="18">
        <f>COUNTIF(T704:U705,"a")</f>
        <v>0</v>
      </c>
      <c r="V706" s="17" t="s">
        <v>17</v>
      </c>
      <c r="W706" s="18">
        <f>COUNTIF(V704:W705,"✔")</f>
        <v>0</v>
      </c>
      <c r="X706" s="17" t="s">
        <v>18</v>
      </c>
      <c r="Y706" s="18">
        <f>COUNTIF(X704:Y705,"a")</f>
        <v>0</v>
      </c>
      <c r="Z706" s="8"/>
      <c r="AA706" s="8"/>
    </row>
    <row r="707" spans="1:27" ht="12.75">
      <c r="A707" s="8"/>
      <c r="B707" s="47" t="s">
        <v>247</v>
      </c>
      <c r="C707" s="48"/>
      <c r="D707" s="48"/>
      <c r="E707" s="49"/>
      <c r="F707" s="43"/>
      <c r="G707" s="43"/>
      <c r="H707" s="43"/>
      <c r="I707" s="43"/>
      <c r="J707" s="43"/>
      <c r="K707" s="45"/>
      <c r="L707" s="43"/>
      <c r="M707" s="43"/>
      <c r="N707" s="43"/>
      <c r="O707" s="43"/>
      <c r="P707" s="53"/>
      <c r="Q707" s="43"/>
      <c r="R707" s="43"/>
      <c r="S707" s="43"/>
      <c r="T707" s="53"/>
      <c r="U707" s="43"/>
      <c r="V707" s="43"/>
      <c r="W707" s="43"/>
      <c r="X707" s="53"/>
      <c r="Y707" s="43"/>
      <c r="Z707" s="8"/>
      <c r="AA707" s="8"/>
    </row>
    <row r="708" spans="1:27" ht="12.75">
      <c r="A708" s="8"/>
      <c r="B708" s="50"/>
      <c r="C708" s="51"/>
      <c r="D708" s="51"/>
      <c r="E708" s="52"/>
      <c r="F708" s="44"/>
      <c r="G708" s="44"/>
      <c r="H708" s="44"/>
      <c r="I708" s="44"/>
      <c r="J708" s="44"/>
      <c r="K708" s="36"/>
      <c r="L708" s="44"/>
      <c r="M708" s="44"/>
      <c r="N708" s="44"/>
      <c r="O708" s="44"/>
      <c r="P708" s="36"/>
      <c r="Q708" s="44"/>
      <c r="R708" s="44"/>
      <c r="S708" s="44"/>
      <c r="T708" s="36"/>
      <c r="U708" s="44"/>
      <c r="V708" s="44"/>
      <c r="W708" s="44"/>
      <c r="X708" s="36"/>
      <c r="Y708" s="44"/>
      <c r="Z708" s="8"/>
      <c r="AA708" s="8"/>
    </row>
    <row r="709" spans="1:27" ht="15">
      <c r="A709" s="8"/>
      <c r="B709" s="40"/>
      <c r="C709" s="41"/>
      <c r="D709" s="41"/>
      <c r="E709" s="42"/>
      <c r="F709" s="17" t="s">
        <v>17</v>
      </c>
      <c r="G709" s="18">
        <f>COUNTIF(F707:G708,"✔")</f>
        <v>0</v>
      </c>
      <c r="H709" s="17" t="s">
        <v>18</v>
      </c>
      <c r="I709" s="18">
        <f>COUNTIF(H707:I708,"a")</f>
        <v>0</v>
      </c>
      <c r="J709" s="17" t="s">
        <v>17</v>
      </c>
      <c r="K709" s="18">
        <f>COUNTIF(J707:K708,"✔")</f>
        <v>0</v>
      </c>
      <c r="L709" s="17" t="s">
        <v>18</v>
      </c>
      <c r="M709" s="18">
        <f>COUNTIF(L707:M708,"a")</f>
        <v>0</v>
      </c>
      <c r="N709" s="17" t="s">
        <v>17</v>
      </c>
      <c r="O709" s="18">
        <f>COUNTIF(N707:O708,"✔")</f>
        <v>0</v>
      </c>
      <c r="P709" s="17" t="s">
        <v>18</v>
      </c>
      <c r="Q709" s="18">
        <f>COUNTIF(P707:Q708,"a")</f>
        <v>0</v>
      </c>
      <c r="R709" s="17" t="s">
        <v>17</v>
      </c>
      <c r="S709" s="18">
        <f>COUNTIF(R707:S708,"✔")</f>
        <v>0</v>
      </c>
      <c r="T709" s="17" t="s">
        <v>18</v>
      </c>
      <c r="U709" s="18">
        <f>COUNTIF(T707:U708,"a")</f>
        <v>0</v>
      </c>
      <c r="V709" s="17" t="s">
        <v>17</v>
      </c>
      <c r="W709" s="18">
        <f>COUNTIF(V707:W708,"✔")</f>
        <v>0</v>
      </c>
      <c r="X709" s="17" t="s">
        <v>18</v>
      </c>
      <c r="Y709" s="18">
        <f>COUNTIF(X707:Y708,"a")</f>
        <v>0</v>
      </c>
      <c r="Z709" s="8"/>
      <c r="AA709" s="8"/>
    </row>
    <row r="710" spans="1:27" ht="12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2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2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2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2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2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2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2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2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2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2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2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2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2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2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2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2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2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2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2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2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2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2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2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2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2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2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2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2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2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2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2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2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2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2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2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2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2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2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2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2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2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2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2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2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2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2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2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2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2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2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2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2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2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2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2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2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2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2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2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2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2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2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2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2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2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2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2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2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2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2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2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2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2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2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2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2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2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2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2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2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2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2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2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2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2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2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2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2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2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2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2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2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2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2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2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2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2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2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2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2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2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2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2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2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2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2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2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2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2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2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2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2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2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2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2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2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2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2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2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2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2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2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2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2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2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2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2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2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2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2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2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2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2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2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2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2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2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2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2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2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2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2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2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2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2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2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2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2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2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2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2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2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2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2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2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2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2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2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2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2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2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2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2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2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2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2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2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2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2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2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2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2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2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2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2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2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2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2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2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2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2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2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2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2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2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2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2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2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2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2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2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2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2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2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2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2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2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2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2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2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2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2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2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2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2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2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2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2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2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2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2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2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2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2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2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2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2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2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2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2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2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2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2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2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2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2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2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2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2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2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2.7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2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2.7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2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2.7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2.7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2.7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2.7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2.7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2.7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2.7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2.7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2.7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2.7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2.7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2.7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2.7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2.7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2.7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2.7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2.7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2.7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2.7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2.7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2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2.7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2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2.7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2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2.7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2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2.7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2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2.7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2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2.7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2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2.7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2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2.7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2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2.7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2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2.7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2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2.7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2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2.7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2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2.7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2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2.7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2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2.7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2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2.7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2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2.7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2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2.7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 spans="1:27" ht="12.7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 spans="1:27" ht="12.75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 spans="1:27" ht="12.7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 spans="1:27" ht="12.75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 spans="1:27" ht="12.7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  <row r="1006" spans="1:27" ht="12.75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</row>
    <row r="1007" spans="1:27" ht="12.7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</row>
    <row r="1008" spans="1:27" ht="12.75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</row>
    <row r="1009" spans="1:27" ht="12.7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</row>
    <row r="1010" spans="1:27" ht="12.75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</row>
    <row r="1011" spans="1:27" ht="12.7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</row>
    <row r="1012" spans="1:27" ht="12.75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</row>
    <row r="1013" spans="1:27" ht="12.7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</row>
    <row r="1014" spans="1:27" ht="12.75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</row>
    <row r="1015" spans="1:27" ht="12.7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</row>
    <row r="1016" spans="1:27" ht="12.75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</row>
    <row r="1017" spans="1:27" ht="12.7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</row>
    <row r="1018" spans="1:27" ht="12.75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</row>
    <row r="1019" spans="1:27" ht="12.75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</row>
    <row r="1020" spans="1:27" ht="12.75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</row>
    <row r="1021" spans="1:27" ht="12.75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</row>
    <row r="1022" spans="1:27" ht="12.75">
      <c r="A1022" s="8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</row>
    <row r="1023" spans="1:27" ht="12.75">
      <c r="A1023" s="8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</row>
    <row r="1024" spans="1:27" ht="12.75">
      <c r="A1024" s="8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</row>
    <row r="1025" spans="1:27" ht="12.7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</row>
    <row r="1026" spans="1:27" ht="12.75">
      <c r="A1026" s="8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</row>
    <row r="1027" spans="1:27" ht="12.75">
      <c r="A1027" s="8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</row>
    <row r="1028" spans="1:27" ht="12.75">
      <c r="A1028" s="8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</row>
    <row r="1029" spans="1:27" ht="12.75">
      <c r="A1029" s="8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</row>
    <row r="1030" spans="1:27" ht="12.75">
      <c r="A1030" s="8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</row>
    <row r="1031" spans="1:27" ht="12.75">
      <c r="A1031" s="8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</row>
    <row r="1032" spans="1:27" ht="12.75">
      <c r="A1032" s="8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</row>
    <row r="1033" spans="1:27" ht="12.75">
      <c r="A1033" s="8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</row>
    <row r="1034" spans="1:27" ht="12.75">
      <c r="A1034" s="8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</row>
    <row r="1035" spans="1:27" ht="12.75">
      <c r="A1035" s="8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</row>
    <row r="1036" spans="1:27" ht="12.75">
      <c r="A1036" s="8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</row>
    <row r="1037" spans="1:27" ht="12.75">
      <c r="A1037" s="8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</row>
    <row r="1038" spans="1:27" ht="12.75">
      <c r="A1038" s="8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</row>
    <row r="1039" spans="1:27" ht="12.75">
      <c r="A1039" s="8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</row>
    <row r="1040" spans="1:27" ht="12.75">
      <c r="A1040" s="8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</row>
    <row r="1041" spans="1:27" ht="12.75">
      <c r="A1041" s="8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</row>
    <row r="1042" spans="1:27" ht="12.75">
      <c r="A1042" s="8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</row>
    <row r="1043" spans="1:27" ht="12.7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</row>
    <row r="1044" spans="1:27" ht="12.75">
      <c r="A1044" s="8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</row>
    <row r="1045" spans="1:27" ht="12.75">
      <c r="A1045" s="8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</row>
    <row r="1046" spans="1:27" ht="12.7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</row>
    <row r="1047" spans="1:27" ht="12.75">
      <c r="A1047" s="8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</row>
    <row r="1048" spans="1:27" ht="12.75">
      <c r="A1048" s="8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</row>
    <row r="1049" spans="1:27" ht="12.75">
      <c r="A1049" s="8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</row>
    <row r="1050" spans="1:27" ht="12.75">
      <c r="A1050" s="8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</row>
    <row r="1051" spans="1:27" ht="12.75">
      <c r="A1051" s="8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</row>
    <row r="1052" spans="1:27" ht="12.75">
      <c r="A1052" s="8"/>
      <c r="B1052" s="8"/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</row>
    <row r="1053" spans="1:27" ht="12.75">
      <c r="A1053" s="8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</row>
    <row r="1054" spans="1:27" ht="12.75">
      <c r="A1054" s="8"/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</row>
    <row r="1055" spans="1:27" ht="12.75">
      <c r="A1055" s="8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</row>
    <row r="1056" spans="1:27" ht="12.75">
      <c r="A1056" s="8"/>
      <c r="B1056" s="8"/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</row>
    <row r="1057" spans="1:27" ht="12.75">
      <c r="A1057" s="8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</row>
    <row r="1058" spans="1:27" ht="12.75">
      <c r="A1058" s="8"/>
      <c r="B1058" s="8"/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</row>
    <row r="1059" spans="1:27" ht="12.75">
      <c r="A1059" s="8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</row>
    <row r="1060" spans="1:27" ht="12.75">
      <c r="A1060" s="8"/>
      <c r="B1060" s="8"/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</row>
    <row r="1061" spans="1:27" ht="12.7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</row>
    <row r="1062" spans="1:27" ht="12.75">
      <c r="A1062" s="8"/>
      <c r="B1062" s="8"/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</row>
    <row r="1063" spans="1:27" ht="12.75">
      <c r="A1063" s="8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</row>
    <row r="1064" spans="1:27" ht="12.75">
      <c r="A1064" s="8"/>
      <c r="B1064" s="8"/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</row>
    <row r="1065" spans="1:27" ht="12.75">
      <c r="A1065" s="8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</row>
    <row r="1066" spans="1:27" ht="12.75">
      <c r="A1066" s="8"/>
      <c r="B1066" s="8"/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</row>
    <row r="1067" spans="1:27" ht="12.75">
      <c r="A1067" s="8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</row>
    <row r="1068" spans="1:27" ht="12.75">
      <c r="A1068" s="8"/>
      <c r="B1068" s="8"/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</row>
    <row r="1069" spans="1:27" ht="12.75">
      <c r="A1069" s="8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</row>
    <row r="1070" spans="1:27" ht="12.75">
      <c r="A1070" s="8"/>
      <c r="B1070" s="8"/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</row>
    <row r="1071" spans="1:27" ht="12.75">
      <c r="A1071" s="8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</row>
    <row r="1072" spans="1:27" ht="12.75">
      <c r="A1072" s="8"/>
      <c r="B1072" s="8"/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</row>
    <row r="1073" spans="1:27" ht="12.75">
      <c r="A1073" s="8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</row>
    <row r="1074" spans="1:27" ht="12.75">
      <c r="A1074" s="8"/>
      <c r="B1074" s="8"/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</row>
    <row r="1075" spans="1:27" ht="12.75">
      <c r="A1075" s="8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</row>
    <row r="1076" spans="1:27" ht="12.75">
      <c r="A1076" s="8"/>
      <c r="B1076" s="8"/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</row>
    <row r="1077" spans="1:27" ht="12.75">
      <c r="A1077" s="8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</row>
    <row r="1078" spans="1:27" ht="12.75">
      <c r="A1078" s="8"/>
      <c r="B1078" s="8"/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</row>
    <row r="1079" spans="1:27" ht="12.7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</row>
    <row r="1080" spans="1:27" ht="12.75">
      <c r="A1080" s="8"/>
      <c r="B1080" s="8"/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</row>
    <row r="1081" spans="1:27" ht="12.75">
      <c r="A1081" s="8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</row>
    <row r="1082" spans="1:27" ht="12.75">
      <c r="A1082" s="8"/>
      <c r="B1082" s="8"/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</row>
    <row r="1083" spans="1:27" ht="12.75">
      <c r="A1083" s="8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</row>
    <row r="1084" spans="1:27" ht="12.75">
      <c r="A1084" s="8"/>
      <c r="B1084" s="8"/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</row>
    <row r="1085" spans="1:27" ht="12.75">
      <c r="A1085" s="8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</row>
    <row r="1086" spans="1:27" ht="12.75">
      <c r="A1086" s="8"/>
      <c r="B1086" s="8"/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</row>
    <row r="1087" spans="1:27" ht="12.75">
      <c r="A1087" s="8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</row>
    <row r="1088" spans="1:27" ht="12.75">
      <c r="A1088" s="8"/>
      <c r="B1088" s="8"/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</row>
    <row r="1089" spans="1:27" ht="12.75">
      <c r="A1089" s="8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</row>
    <row r="1090" spans="1:27" ht="12.75">
      <c r="A1090" s="8"/>
      <c r="B1090" s="8"/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</row>
    <row r="1091" spans="1:27" ht="12.75">
      <c r="A1091" s="8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</row>
    <row r="1092" spans="1:27" ht="12.75">
      <c r="A1092" s="8"/>
      <c r="B1092" s="8"/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</row>
    <row r="1093" spans="1:27" ht="12.75">
      <c r="A1093" s="8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</row>
    <row r="1094" spans="1:27" ht="12.75">
      <c r="A1094" s="8"/>
      <c r="B1094" s="8"/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</row>
    <row r="1095" spans="1:27" ht="12.75">
      <c r="A1095" s="8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</row>
    <row r="1096" spans="1:27" ht="12.75">
      <c r="A1096" s="8"/>
      <c r="B1096" s="8"/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</row>
    <row r="1097" spans="1:27" ht="12.7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</row>
    <row r="1098" spans="1:27" ht="12.75">
      <c r="A1098" s="8"/>
      <c r="B1098" s="8"/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</row>
    <row r="1099" spans="1:27" ht="12.75">
      <c r="A1099" s="8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</row>
    <row r="1100" spans="1:27" ht="12.75">
      <c r="A1100" s="8"/>
      <c r="B1100" s="8"/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</row>
    <row r="1101" spans="1:27" ht="12.75">
      <c r="A1101" s="8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</row>
    <row r="1102" spans="1:27" ht="12.75">
      <c r="A1102" s="8"/>
      <c r="B1102" s="8"/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</row>
    <row r="1103" spans="1:27" ht="12.75">
      <c r="A1103" s="8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</row>
    <row r="1104" spans="1:27" ht="12.75">
      <c r="A1104" s="8"/>
      <c r="B1104" s="8"/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</row>
    <row r="1105" spans="1:27" ht="12.75">
      <c r="A1105" s="8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</row>
    <row r="1106" spans="1:27" ht="12.75">
      <c r="A1106" s="8"/>
      <c r="B1106" s="8"/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</row>
    <row r="1107" spans="1:27" ht="12.75">
      <c r="A1107" s="8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</row>
    <row r="1108" spans="1:27" ht="12.75">
      <c r="A1108" s="8"/>
      <c r="B1108" s="8"/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</row>
    <row r="1109" spans="1:27" ht="12.75">
      <c r="A1109" s="8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</row>
    <row r="1110" spans="1:27" ht="12.75">
      <c r="A1110" s="8"/>
      <c r="B1110" s="8"/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</row>
    <row r="1111" spans="1:27" ht="12.75">
      <c r="A1111" s="8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</row>
    <row r="1112" spans="1:27" ht="12.75">
      <c r="A1112" s="8"/>
      <c r="B1112" s="8"/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</row>
    <row r="1113" spans="1:27" ht="12.75">
      <c r="A1113" s="8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</row>
    <row r="1114" spans="1:27" ht="12.75">
      <c r="A1114" s="8"/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</row>
    <row r="1115" spans="1:27" ht="12.7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</row>
    <row r="1116" spans="1:27" ht="12.75">
      <c r="A1116" s="8"/>
      <c r="B1116" s="8"/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</row>
    <row r="1117" spans="1:27" ht="12.75">
      <c r="A1117" s="8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</row>
    <row r="1118" spans="1:27" ht="12.75">
      <c r="A1118" s="8"/>
      <c r="B1118" s="8"/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</row>
    <row r="1119" spans="1:27" ht="12.75">
      <c r="A1119" s="8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</row>
    <row r="1120" spans="1:27" ht="12.75">
      <c r="A1120" s="8"/>
      <c r="B1120" s="8"/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</row>
    <row r="1121" spans="1:27" ht="12.75">
      <c r="A1121" s="8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</row>
    <row r="1122" spans="1:27" ht="12.75">
      <c r="A1122" s="8"/>
      <c r="B1122" s="8"/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</row>
    <row r="1123" spans="1:27" ht="12.75">
      <c r="A1123" s="8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</row>
    <row r="1124" spans="1:27" ht="12.75">
      <c r="A1124" s="8"/>
      <c r="B1124" s="8"/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</row>
  </sheetData>
  <mergeCells count="5124">
    <mergeCell ref="B703:E703"/>
    <mergeCell ref="B704:E705"/>
    <mergeCell ref="F704:F705"/>
    <mergeCell ref="G704:G705"/>
    <mergeCell ref="H704:H705"/>
    <mergeCell ref="I704:I705"/>
    <mergeCell ref="J704:J705"/>
    <mergeCell ref="R707:R708"/>
    <mergeCell ref="S707:S708"/>
    <mergeCell ref="K707:K708"/>
    <mergeCell ref="L707:L708"/>
    <mergeCell ref="M707:M708"/>
    <mergeCell ref="N707:N708"/>
    <mergeCell ref="O707:O708"/>
    <mergeCell ref="P707:P708"/>
    <mergeCell ref="Q707:Q708"/>
    <mergeCell ref="B709:E709"/>
    <mergeCell ref="O683:O684"/>
    <mergeCell ref="P683:P684"/>
    <mergeCell ref="Q683:Q684"/>
    <mergeCell ref="K686:K687"/>
    <mergeCell ref="L686:L687"/>
    <mergeCell ref="M686:M687"/>
    <mergeCell ref="N686:N687"/>
    <mergeCell ref="O686:O687"/>
    <mergeCell ref="P686:P687"/>
    <mergeCell ref="Q686:Q687"/>
    <mergeCell ref="T686:T687"/>
    <mergeCell ref="T689:T690"/>
    <mergeCell ref="U689:U690"/>
    <mergeCell ref="V689:V690"/>
    <mergeCell ref="W689:W690"/>
    <mergeCell ref="X689:X690"/>
    <mergeCell ref="Y689:Y690"/>
    <mergeCell ref="R686:R687"/>
    <mergeCell ref="S686:S687"/>
    <mergeCell ref="U686:U687"/>
    <mergeCell ref="V686:V687"/>
    <mergeCell ref="W686:W687"/>
    <mergeCell ref="X686:X687"/>
    <mergeCell ref="Y686:Y687"/>
    <mergeCell ref="B685:E685"/>
    <mergeCell ref="B686:E687"/>
    <mergeCell ref="F686:F687"/>
    <mergeCell ref="G686:G687"/>
    <mergeCell ref="H686:H687"/>
    <mergeCell ref="I686:I687"/>
    <mergeCell ref="J686:J687"/>
    <mergeCell ref="R689:R690"/>
    <mergeCell ref="S689:S690"/>
    <mergeCell ref="K689:K690"/>
    <mergeCell ref="L689:L690"/>
    <mergeCell ref="M689:M690"/>
    <mergeCell ref="N689:N690"/>
    <mergeCell ref="O689:O690"/>
    <mergeCell ref="P689:P690"/>
    <mergeCell ref="Q689:Q690"/>
    <mergeCell ref="B676:E676"/>
    <mergeCell ref="B677:E678"/>
    <mergeCell ref="F677:F678"/>
    <mergeCell ref="G677:G678"/>
    <mergeCell ref="H677:H678"/>
    <mergeCell ref="I677:I678"/>
    <mergeCell ref="J677:J678"/>
    <mergeCell ref="B679:E679"/>
    <mergeCell ref="B680:E681"/>
    <mergeCell ref="F680:F681"/>
    <mergeCell ref="G680:G681"/>
    <mergeCell ref="H680:H681"/>
    <mergeCell ref="I680:I681"/>
    <mergeCell ref="J680:J681"/>
    <mergeCell ref="R683:R684"/>
    <mergeCell ref="S683:S684"/>
    <mergeCell ref="R680:R681"/>
    <mergeCell ref="S680:S681"/>
    <mergeCell ref="T680:T681"/>
    <mergeCell ref="U680:U681"/>
    <mergeCell ref="V680:V681"/>
    <mergeCell ref="W680:W681"/>
    <mergeCell ref="X680:X681"/>
    <mergeCell ref="Y680:Y681"/>
    <mergeCell ref="K680:K681"/>
    <mergeCell ref="L680:L681"/>
    <mergeCell ref="M680:M681"/>
    <mergeCell ref="N680:N681"/>
    <mergeCell ref="O680:O681"/>
    <mergeCell ref="P680:P681"/>
    <mergeCell ref="Q680:Q681"/>
    <mergeCell ref="B682:E682"/>
    <mergeCell ref="B683:E684"/>
    <mergeCell ref="F683:F684"/>
    <mergeCell ref="G683:G684"/>
    <mergeCell ref="H683:H684"/>
    <mergeCell ref="I683:I684"/>
    <mergeCell ref="J683:J684"/>
    <mergeCell ref="T683:T684"/>
    <mergeCell ref="U683:U684"/>
    <mergeCell ref="V683:V684"/>
    <mergeCell ref="W683:W684"/>
    <mergeCell ref="X683:X684"/>
    <mergeCell ref="Y683:Y684"/>
    <mergeCell ref="K683:K684"/>
    <mergeCell ref="L683:L684"/>
    <mergeCell ref="M683:M684"/>
    <mergeCell ref="N683:N684"/>
    <mergeCell ref="U671:U672"/>
    <mergeCell ref="V671:V672"/>
    <mergeCell ref="W671:W672"/>
    <mergeCell ref="X671:X672"/>
    <mergeCell ref="Y671:Y672"/>
    <mergeCell ref="K671:K672"/>
    <mergeCell ref="L671:L672"/>
    <mergeCell ref="M671:M672"/>
    <mergeCell ref="N671:N672"/>
    <mergeCell ref="O671:O672"/>
    <mergeCell ref="P671:P672"/>
    <mergeCell ref="Q671:Q672"/>
    <mergeCell ref="R674:R675"/>
    <mergeCell ref="S674:S675"/>
    <mergeCell ref="T674:T675"/>
    <mergeCell ref="U674:U675"/>
    <mergeCell ref="V674:V675"/>
    <mergeCell ref="W674:W675"/>
    <mergeCell ref="X674:X675"/>
    <mergeCell ref="Y674:Y675"/>
    <mergeCell ref="K674:K675"/>
    <mergeCell ref="L674:L675"/>
    <mergeCell ref="M674:M675"/>
    <mergeCell ref="N674:N675"/>
    <mergeCell ref="O674:O675"/>
    <mergeCell ref="P674:P675"/>
    <mergeCell ref="Q674:Q675"/>
    <mergeCell ref="B670:E670"/>
    <mergeCell ref="B671:E672"/>
    <mergeCell ref="F671:F672"/>
    <mergeCell ref="G671:G672"/>
    <mergeCell ref="H671:H672"/>
    <mergeCell ref="I671:I672"/>
    <mergeCell ref="J671:J672"/>
    <mergeCell ref="B673:E673"/>
    <mergeCell ref="B674:E675"/>
    <mergeCell ref="F674:F675"/>
    <mergeCell ref="G674:G675"/>
    <mergeCell ref="H674:H675"/>
    <mergeCell ref="I674:I675"/>
    <mergeCell ref="J674:J675"/>
    <mergeCell ref="S668:S669"/>
    <mergeCell ref="T668:T669"/>
    <mergeCell ref="L668:L669"/>
    <mergeCell ref="M668:M669"/>
    <mergeCell ref="N668:N669"/>
    <mergeCell ref="O668:O669"/>
    <mergeCell ref="P668:P669"/>
    <mergeCell ref="Q668:Q669"/>
    <mergeCell ref="R668:R669"/>
    <mergeCell ref="R671:R672"/>
    <mergeCell ref="S671:S672"/>
    <mergeCell ref="T671:T672"/>
    <mergeCell ref="B706:E706"/>
    <mergeCell ref="B707:E708"/>
    <mergeCell ref="F707:F708"/>
    <mergeCell ref="G707:G708"/>
    <mergeCell ref="H707:H708"/>
    <mergeCell ref="I707:I708"/>
    <mergeCell ref="J707:J708"/>
    <mergeCell ref="T704:T705"/>
    <mergeCell ref="T707:T708"/>
    <mergeCell ref="U707:U708"/>
    <mergeCell ref="V707:V708"/>
    <mergeCell ref="W707:W708"/>
    <mergeCell ref="X707:X708"/>
    <mergeCell ref="Y707:Y708"/>
    <mergeCell ref="R704:R705"/>
    <mergeCell ref="S704:S705"/>
    <mergeCell ref="U704:U705"/>
    <mergeCell ref="V704:V705"/>
    <mergeCell ref="W704:W705"/>
    <mergeCell ref="X704:X705"/>
    <mergeCell ref="Y704:Y705"/>
    <mergeCell ref="U701:U702"/>
    <mergeCell ref="V701:V702"/>
    <mergeCell ref="W701:W702"/>
    <mergeCell ref="X701:X702"/>
    <mergeCell ref="Y701:Y702"/>
    <mergeCell ref="K701:K702"/>
    <mergeCell ref="L701:L702"/>
    <mergeCell ref="M701:M702"/>
    <mergeCell ref="N701:N702"/>
    <mergeCell ref="O701:O702"/>
    <mergeCell ref="P701:P702"/>
    <mergeCell ref="Q701:Q702"/>
    <mergeCell ref="K704:K705"/>
    <mergeCell ref="L704:L705"/>
    <mergeCell ref="M704:M705"/>
    <mergeCell ref="N704:N705"/>
    <mergeCell ref="O704:O705"/>
    <mergeCell ref="P704:P705"/>
    <mergeCell ref="Q704:Q705"/>
    <mergeCell ref="B694:E694"/>
    <mergeCell ref="B695:E696"/>
    <mergeCell ref="F695:F696"/>
    <mergeCell ref="G695:G696"/>
    <mergeCell ref="H695:H696"/>
    <mergeCell ref="I695:I696"/>
    <mergeCell ref="J695:J696"/>
    <mergeCell ref="B697:E697"/>
    <mergeCell ref="B698:E699"/>
    <mergeCell ref="F698:F699"/>
    <mergeCell ref="G698:G699"/>
    <mergeCell ref="H698:H699"/>
    <mergeCell ref="I698:I699"/>
    <mergeCell ref="J698:J699"/>
    <mergeCell ref="R701:R702"/>
    <mergeCell ref="S701:S702"/>
    <mergeCell ref="T701:T702"/>
    <mergeCell ref="B700:E700"/>
    <mergeCell ref="B701:E702"/>
    <mergeCell ref="F701:F702"/>
    <mergeCell ref="G701:G702"/>
    <mergeCell ref="H701:H702"/>
    <mergeCell ref="I701:I702"/>
    <mergeCell ref="J701:J702"/>
    <mergeCell ref="R695:R696"/>
    <mergeCell ref="S695:S696"/>
    <mergeCell ref="T695:T696"/>
    <mergeCell ref="U695:U696"/>
    <mergeCell ref="V695:V696"/>
    <mergeCell ref="W695:W696"/>
    <mergeCell ref="X695:X696"/>
    <mergeCell ref="Y695:Y696"/>
    <mergeCell ref="K695:K696"/>
    <mergeCell ref="L695:L696"/>
    <mergeCell ref="M695:M696"/>
    <mergeCell ref="N695:N696"/>
    <mergeCell ref="O695:O696"/>
    <mergeCell ref="P695:P696"/>
    <mergeCell ref="Q695:Q696"/>
    <mergeCell ref="R698:R699"/>
    <mergeCell ref="S698:S699"/>
    <mergeCell ref="T698:T699"/>
    <mergeCell ref="U698:U699"/>
    <mergeCell ref="V698:V699"/>
    <mergeCell ref="W698:W699"/>
    <mergeCell ref="X698:X699"/>
    <mergeCell ref="Y698:Y699"/>
    <mergeCell ref="K698:K699"/>
    <mergeCell ref="L698:L699"/>
    <mergeCell ref="M698:M699"/>
    <mergeCell ref="N698:N699"/>
    <mergeCell ref="O698:O699"/>
    <mergeCell ref="P698:P699"/>
    <mergeCell ref="Q698:Q699"/>
    <mergeCell ref="B688:E688"/>
    <mergeCell ref="B689:E690"/>
    <mergeCell ref="F689:F690"/>
    <mergeCell ref="G689:G690"/>
    <mergeCell ref="H689:H690"/>
    <mergeCell ref="I689:I690"/>
    <mergeCell ref="J689:J690"/>
    <mergeCell ref="R692:R693"/>
    <mergeCell ref="S692:S693"/>
    <mergeCell ref="T692:T693"/>
    <mergeCell ref="U692:U693"/>
    <mergeCell ref="V692:V693"/>
    <mergeCell ref="W692:W693"/>
    <mergeCell ref="X692:X693"/>
    <mergeCell ref="Y692:Y693"/>
    <mergeCell ref="K692:K693"/>
    <mergeCell ref="L692:L693"/>
    <mergeCell ref="M692:M693"/>
    <mergeCell ref="N692:N693"/>
    <mergeCell ref="O692:O693"/>
    <mergeCell ref="P692:P693"/>
    <mergeCell ref="Q692:Q693"/>
    <mergeCell ref="B691:E691"/>
    <mergeCell ref="B692:E693"/>
    <mergeCell ref="F692:F693"/>
    <mergeCell ref="G692:G693"/>
    <mergeCell ref="H692:H693"/>
    <mergeCell ref="I692:I693"/>
    <mergeCell ref="J692:J693"/>
    <mergeCell ref="U665:U666"/>
    <mergeCell ref="V665:V666"/>
    <mergeCell ref="W665:W666"/>
    <mergeCell ref="X665:X666"/>
    <mergeCell ref="Y665:Y666"/>
    <mergeCell ref="U668:U669"/>
    <mergeCell ref="V668:V669"/>
    <mergeCell ref="W668:W669"/>
    <mergeCell ref="X668:X669"/>
    <mergeCell ref="Y668:Y669"/>
    <mergeCell ref="B668:E669"/>
    <mergeCell ref="F668:F669"/>
    <mergeCell ref="G668:G669"/>
    <mergeCell ref="H668:H669"/>
    <mergeCell ref="I668:I669"/>
    <mergeCell ref="J668:J669"/>
    <mergeCell ref="K668:K669"/>
    <mergeCell ref="U662:U663"/>
    <mergeCell ref="V662:V663"/>
    <mergeCell ref="W662:W663"/>
    <mergeCell ref="X662:X663"/>
    <mergeCell ref="Y662:Y663"/>
    <mergeCell ref="L662:L663"/>
    <mergeCell ref="M662:M663"/>
    <mergeCell ref="N662:N663"/>
    <mergeCell ref="O662:O663"/>
    <mergeCell ref="P662:P663"/>
    <mergeCell ref="Q662:Q663"/>
    <mergeCell ref="R662:R663"/>
    <mergeCell ref="B662:E663"/>
    <mergeCell ref="F662:F663"/>
    <mergeCell ref="G662:G663"/>
    <mergeCell ref="H662:H663"/>
    <mergeCell ref="I662:I663"/>
    <mergeCell ref="J662:J663"/>
    <mergeCell ref="K662:K663"/>
    <mergeCell ref="L665:L666"/>
    <mergeCell ref="M665:M666"/>
    <mergeCell ref="N665:N666"/>
    <mergeCell ref="O665:O666"/>
    <mergeCell ref="P665:P666"/>
    <mergeCell ref="Q665:Q666"/>
    <mergeCell ref="R665:R666"/>
    <mergeCell ref="B665:E666"/>
    <mergeCell ref="F665:F666"/>
    <mergeCell ref="G665:G666"/>
    <mergeCell ref="H665:H666"/>
    <mergeCell ref="I665:I666"/>
    <mergeCell ref="J665:J666"/>
    <mergeCell ref="K665:K666"/>
    <mergeCell ref="S659:S660"/>
    <mergeCell ref="T659:T660"/>
    <mergeCell ref="L659:L660"/>
    <mergeCell ref="M659:M660"/>
    <mergeCell ref="N659:N660"/>
    <mergeCell ref="O659:O660"/>
    <mergeCell ref="P659:P660"/>
    <mergeCell ref="Q659:Q660"/>
    <mergeCell ref="R659:R660"/>
    <mergeCell ref="S662:S663"/>
    <mergeCell ref="T662:T663"/>
    <mergeCell ref="S665:S666"/>
    <mergeCell ref="T665:T666"/>
    <mergeCell ref="U656:U657"/>
    <mergeCell ref="V656:V657"/>
    <mergeCell ref="W656:W657"/>
    <mergeCell ref="X656:X657"/>
    <mergeCell ref="Y656:Y657"/>
    <mergeCell ref="U659:U660"/>
    <mergeCell ref="V659:V660"/>
    <mergeCell ref="W659:W660"/>
    <mergeCell ref="X659:X660"/>
    <mergeCell ref="Y659:Y660"/>
    <mergeCell ref="B659:E660"/>
    <mergeCell ref="F659:F660"/>
    <mergeCell ref="G659:G660"/>
    <mergeCell ref="H659:H660"/>
    <mergeCell ref="I659:I660"/>
    <mergeCell ref="J659:J660"/>
    <mergeCell ref="K659:K660"/>
    <mergeCell ref="U653:U654"/>
    <mergeCell ref="V653:V654"/>
    <mergeCell ref="W653:W654"/>
    <mergeCell ref="X653:X654"/>
    <mergeCell ref="Y653:Y654"/>
    <mergeCell ref="L653:L654"/>
    <mergeCell ref="M653:M654"/>
    <mergeCell ref="N653:N654"/>
    <mergeCell ref="O653:O654"/>
    <mergeCell ref="P653:P654"/>
    <mergeCell ref="Q653:Q654"/>
    <mergeCell ref="R653:R654"/>
    <mergeCell ref="B653:E654"/>
    <mergeCell ref="F653:F654"/>
    <mergeCell ref="G653:G654"/>
    <mergeCell ref="H653:H654"/>
    <mergeCell ref="I653:I654"/>
    <mergeCell ref="J653:J654"/>
    <mergeCell ref="K653:K654"/>
    <mergeCell ref="L656:L657"/>
    <mergeCell ref="M656:M657"/>
    <mergeCell ref="N656:N657"/>
    <mergeCell ref="O656:O657"/>
    <mergeCell ref="P656:P657"/>
    <mergeCell ref="Q656:Q657"/>
    <mergeCell ref="R656:R657"/>
    <mergeCell ref="B656:E657"/>
    <mergeCell ref="F656:F657"/>
    <mergeCell ref="G656:G657"/>
    <mergeCell ref="H656:H657"/>
    <mergeCell ref="I656:I657"/>
    <mergeCell ref="J656:J657"/>
    <mergeCell ref="K656:K657"/>
    <mergeCell ref="S650:S651"/>
    <mergeCell ref="T650:T651"/>
    <mergeCell ref="L650:L651"/>
    <mergeCell ref="M650:M651"/>
    <mergeCell ref="N650:N651"/>
    <mergeCell ref="O650:O651"/>
    <mergeCell ref="P650:P651"/>
    <mergeCell ref="Q650:Q651"/>
    <mergeCell ref="R650:R651"/>
    <mergeCell ref="S653:S654"/>
    <mergeCell ref="T653:T654"/>
    <mergeCell ref="S656:S657"/>
    <mergeCell ref="T656:T657"/>
    <mergeCell ref="U647:U648"/>
    <mergeCell ref="V647:V648"/>
    <mergeCell ref="W647:W648"/>
    <mergeCell ref="X647:X648"/>
    <mergeCell ref="Y647:Y648"/>
    <mergeCell ref="U650:U651"/>
    <mergeCell ref="V650:V651"/>
    <mergeCell ref="W650:W651"/>
    <mergeCell ref="X650:X651"/>
    <mergeCell ref="Y650:Y651"/>
    <mergeCell ref="B650:E651"/>
    <mergeCell ref="F650:F651"/>
    <mergeCell ref="G650:G651"/>
    <mergeCell ref="H650:H651"/>
    <mergeCell ref="I650:I651"/>
    <mergeCell ref="J650:J651"/>
    <mergeCell ref="K650:K651"/>
    <mergeCell ref="U644:U645"/>
    <mergeCell ref="V644:V645"/>
    <mergeCell ref="W644:W645"/>
    <mergeCell ref="X644:X645"/>
    <mergeCell ref="Y644:Y645"/>
    <mergeCell ref="L644:L645"/>
    <mergeCell ref="M644:M645"/>
    <mergeCell ref="N644:N645"/>
    <mergeCell ref="O644:O645"/>
    <mergeCell ref="P644:P645"/>
    <mergeCell ref="Q644:Q645"/>
    <mergeCell ref="R644:R645"/>
    <mergeCell ref="B644:E645"/>
    <mergeCell ref="F644:F645"/>
    <mergeCell ref="G644:G645"/>
    <mergeCell ref="H644:H645"/>
    <mergeCell ref="I644:I645"/>
    <mergeCell ref="J644:J645"/>
    <mergeCell ref="K644:K645"/>
    <mergeCell ref="L647:L648"/>
    <mergeCell ref="M647:M648"/>
    <mergeCell ref="N647:N648"/>
    <mergeCell ref="O647:O648"/>
    <mergeCell ref="P647:P648"/>
    <mergeCell ref="Q647:Q648"/>
    <mergeCell ref="R647:R648"/>
    <mergeCell ref="B647:E648"/>
    <mergeCell ref="F647:F648"/>
    <mergeCell ref="G647:G648"/>
    <mergeCell ref="H647:H648"/>
    <mergeCell ref="I647:I648"/>
    <mergeCell ref="J647:J648"/>
    <mergeCell ref="K647:K648"/>
    <mergeCell ref="S641:S642"/>
    <mergeCell ref="T641:T642"/>
    <mergeCell ref="L641:L642"/>
    <mergeCell ref="M641:M642"/>
    <mergeCell ref="N641:N642"/>
    <mergeCell ref="O641:O642"/>
    <mergeCell ref="P641:P642"/>
    <mergeCell ref="Q641:Q642"/>
    <mergeCell ref="R641:R642"/>
    <mergeCell ref="S644:S645"/>
    <mergeCell ref="T644:T645"/>
    <mergeCell ref="S647:S648"/>
    <mergeCell ref="T647:T648"/>
    <mergeCell ref="T638:T639"/>
    <mergeCell ref="U638:U639"/>
    <mergeCell ref="V638:V639"/>
    <mergeCell ref="W638:W639"/>
    <mergeCell ref="X638:X639"/>
    <mergeCell ref="Y638:Y639"/>
    <mergeCell ref="U641:U642"/>
    <mergeCell ref="V641:V642"/>
    <mergeCell ref="W641:W642"/>
    <mergeCell ref="X641:X642"/>
    <mergeCell ref="Y641:Y642"/>
    <mergeCell ref="B641:E642"/>
    <mergeCell ref="F641:F642"/>
    <mergeCell ref="G641:G642"/>
    <mergeCell ref="H641:H642"/>
    <mergeCell ref="I641:I642"/>
    <mergeCell ref="J641:J642"/>
    <mergeCell ref="K641:K642"/>
    <mergeCell ref="T635:T636"/>
    <mergeCell ref="U635:U636"/>
    <mergeCell ref="V635:V636"/>
    <mergeCell ref="W635:W636"/>
    <mergeCell ref="X635:X636"/>
    <mergeCell ref="Y635:Y636"/>
    <mergeCell ref="L635:L636"/>
    <mergeCell ref="M635:M636"/>
    <mergeCell ref="N635:N636"/>
    <mergeCell ref="O635:O636"/>
    <mergeCell ref="P635:P636"/>
    <mergeCell ref="Q635:Q636"/>
    <mergeCell ref="R635:R636"/>
    <mergeCell ref="B635:E636"/>
    <mergeCell ref="F635:F636"/>
    <mergeCell ref="G635:G636"/>
    <mergeCell ref="H635:H636"/>
    <mergeCell ref="I635:I636"/>
    <mergeCell ref="J635:J636"/>
    <mergeCell ref="K635:K636"/>
    <mergeCell ref="L638:L639"/>
    <mergeCell ref="M638:M639"/>
    <mergeCell ref="N638:N639"/>
    <mergeCell ref="O638:O639"/>
    <mergeCell ref="P638:P639"/>
    <mergeCell ref="Q638:Q639"/>
    <mergeCell ref="R638:R639"/>
    <mergeCell ref="B638:E639"/>
    <mergeCell ref="F638:F639"/>
    <mergeCell ref="G638:G639"/>
    <mergeCell ref="H638:H639"/>
    <mergeCell ref="I638:I639"/>
    <mergeCell ref="J638:J639"/>
    <mergeCell ref="K638:K639"/>
    <mergeCell ref="R632:R633"/>
    <mergeCell ref="S632:S633"/>
    <mergeCell ref="K632:K633"/>
    <mergeCell ref="L632:L633"/>
    <mergeCell ref="M632:M633"/>
    <mergeCell ref="N632:N633"/>
    <mergeCell ref="O632:O633"/>
    <mergeCell ref="P632:P633"/>
    <mergeCell ref="Q632:Q633"/>
    <mergeCell ref="S635:S636"/>
    <mergeCell ref="S638:S639"/>
    <mergeCell ref="B631:E631"/>
    <mergeCell ref="B632:E633"/>
    <mergeCell ref="F632:F633"/>
    <mergeCell ref="G632:G633"/>
    <mergeCell ref="H632:H633"/>
    <mergeCell ref="I632:I633"/>
    <mergeCell ref="J632:J633"/>
    <mergeCell ref="T629:T630"/>
    <mergeCell ref="T632:T633"/>
    <mergeCell ref="U632:U633"/>
    <mergeCell ref="V632:V633"/>
    <mergeCell ref="W632:W633"/>
    <mergeCell ref="X632:X633"/>
    <mergeCell ref="Y632:Y633"/>
    <mergeCell ref="R629:R630"/>
    <mergeCell ref="S629:S630"/>
    <mergeCell ref="U629:U630"/>
    <mergeCell ref="V629:V630"/>
    <mergeCell ref="W629:W630"/>
    <mergeCell ref="X629:X630"/>
    <mergeCell ref="Y629:Y630"/>
    <mergeCell ref="T626:T627"/>
    <mergeCell ref="U626:U627"/>
    <mergeCell ref="V626:V627"/>
    <mergeCell ref="W626:W627"/>
    <mergeCell ref="X626:X627"/>
    <mergeCell ref="Y626:Y627"/>
    <mergeCell ref="K626:K627"/>
    <mergeCell ref="L626:L627"/>
    <mergeCell ref="M626:M627"/>
    <mergeCell ref="N626:N627"/>
    <mergeCell ref="O626:O627"/>
    <mergeCell ref="P626:P627"/>
    <mergeCell ref="Q626:Q627"/>
    <mergeCell ref="K629:K630"/>
    <mergeCell ref="L629:L630"/>
    <mergeCell ref="M629:M630"/>
    <mergeCell ref="N629:N630"/>
    <mergeCell ref="O629:O630"/>
    <mergeCell ref="P629:P630"/>
    <mergeCell ref="Q629:Q630"/>
    <mergeCell ref="B625:E625"/>
    <mergeCell ref="B626:E627"/>
    <mergeCell ref="F626:F627"/>
    <mergeCell ref="G626:G627"/>
    <mergeCell ref="H626:H627"/>
    <mergeCell ref="I626:I627"/>
    <mergeCell ref="J626:J627"/>
    <mergeCell ref="B628:E628"/>
    <mergeCell ref="B629:E630"/>
    <mergeCell ref="F629:F630"/>
    <mergeCell ref="G629:G630"/>
    <mergeCell ref="H629:H630"/>
    <mergeCell ref="I629:I630"/>
    <mergeCell ref="J629:J630"/>
    <mergeCell ref="R623:R624"/>
    <mergeCell ref="S623:S624"/>
    <mergeCell ref="K623:K624"/>
    <mergeCell ref="L623:L624"/>
    <mergeCell ref="M623:M624"/>
    <mergeCell ref="N623:N624"/>
    <mergeCell ref="O623:O624"/>
    <mergeCell ref="P623:P624"/>
    <mergeCell ref="Q623:Q624"/>
    <mergeCell ref="R626:R627"/>
    <mergeCell ref="S626:S627"/>
    <mergeCell ref="B622:E622"/>
    <mergeCell ref="B623:E624"/>
    <mergeCell ref="F623:F624"/>
    <mergeCell ref="G623:G624"/>
    <mergeCell ref="H623:H624"/>
    <mergeCell ref="I623:I624"/>
    <mergeCell ref="J623:J624"/>
    <mergeCell ref="T620:T621"/>
    <mergeCell ref="T623:T624"/>
    <mergeCell ref="U623:U624"/>
    <mergeCell ref="V623:V624"/>
    <mergeCell ref="W623:W624"/>
    <mergeCell ref="X623:X624"/>
    <mergeCell ref="Y623:Y624"/>
    <mergeCell ref="R620:R621"/>
    <mergeCell ref="S620:S621"/>
    <mergeCell ref="U620:U621"/>
    <mergeCell ref="V620:V621"/>
    <mergeCell ref="W620:W621"/>
    <mergeCell ref="X620:X621"/>
    <mergeCell ref="Y620:Y621"/>
    <mergeCell ref="V617:V618"/>
    <mergeCell ref="W617:W618"/>
    <mergeCell ref="X617:X618"/>
    <mergeCell ref="Y617:Y618"/>
    <mergeCell ref="K617:K618"/>
    <mergeCell ref="L617:L618"/>
    <mergeCell ref="M617:M618"/>
    <mergeCell ref="N617:N618"/>
    <mergeCell ref="O617:O618"/>
    <mergeCell ref="P617:P618"/>
    <mergeCell ref="Q617:Q618"/>
    <mergeCell ref="K620:K621"/>
    <mergeCell ref="L620:L621"/>
    <mergeCell ref="M620:M621"/>
    <mergeCell ref="N620:N621"/>
    <mergeCell ref="O620:O621"/>
    <mergeCell ref="P620:P621"/>
    <mergeCell ref="Q620:Q621"/>
    <mergeCell ref="G620:G621"/>
    <mergeCell ref="H620:H621"/>
    <mergeCell ref="I620:I621"/>
    <mergeCell ref="J620:J621"/>
    <mergeCell ref="R614:R615"/>
    <mergeCell ref="S614:S615"/>
    <mergeCell ref="K614:K615"/>
    <mergeCell ref="L614:L615"/>
    <mergeCell ref="M614:M615"/>
    <mergeCell ref="N614:N615"/>
    <mergeCell ref="O614:O615"/>
    <mergeCell ref="P614:P615"/>
    <mergeCell ref="Q614:Q615"/>
    <mergeCell ref="R617:R618"/>
    <mergeCell ref="S617:S618"/>
    <mergeCell ref="T617:T618"/>
    <mergeCell ref="U617:U618"/>
    <mergeCell ref="B601:E601"/>
    <mergeCell ref="B602:E603"/>
    <mergeCell ref="F602:F603"/>
    <mergeCell ref="G602:G603"/>
    <mergeCell ref="H602:H603"/>
    <mergeCell ref="I602:I603"/>
    <mergeCell ref="J602:J603"/>
    <mergeCell ref="R677:R678"/>
    <mergeCell ref="S677:S678"/>
    <mergeCell ref="T677:T678"/>
    <mergeCell ref="U677:U678"/>
    <mergeCell ref="V677:V678"/>
    <mergeCell ref="W677:W678"/>
    <mergeCell ref="X677:X678"/>
    <mergeCell ref="Y677:Y678"/>
    <mergeCell ref="K677:K678"/>
    <mergeCell ref="L677:L678"/>
    <mergeCell ref="M677:M678"/>
    <mergeCell ref="N677:N678"/>
    <mergeCell ref="O677:O678"/>
    <mergeCell ref="P677:P678"/>
    <mergeCell ref="Q677:Q678"/>
    <mergeCell ref="B616:E616"/>
    <mergeCell ref="B617:E618"/>
    <mergeCell ref="F617:F618"/>
    <mergeCell ref="G617:G618"/>
    <mergeCell ref="H617:H618"/>
    <mergeCell ref="I617:I618"/>
    <mergeCell ref="J617:J618"/>
    <mergeCell ref="B619:E619"/>
    <mergeCell ref="B620:E621"/>
    <mergeCell ref="F620:F621"/>
    <mergeCell ref="O581:O582"/>
    <mergeCell ref="P581:P582"/>
    <mergeCell ref="Q581:Q582"/>
    <mergeCell ref="K584:K585"/>
    <mergeCell ref="L584:L585"/>
    <mergeCell ref="M584:M585"/>
    <mergeCell ref="N584:N585"/>
    <mergeCell ref="O584:O585"/>
    <mergeCell ref="P584:P585"/>
    <mergeCell ref="Q584:Q585"/>
    <mergeCell ref="T584:T585"/>
    <mergeCell ref="T587:T588"/>
    <mergeCell ref="U587:U588"/>
    <mergeCell ref="V587:V588"/>
    <mergeCell ref="W587:W588"/>
    <mergeCell ref="X587:X588"/>
    <mergeCell ref="Y587:Y588"/>
    <mergeCell ref="R584:R585"/>
    <mergeCell ref="S584:S585"/>
    <mergeCell ref="U584:U585"/>
    <mergeCell ref="V584:V585"/>
    <mergeCell ref="W584:W585"/>
    <mergeCell ref="X584:X585"/>
    <mergeCell ref="Y584:Y585"/>
    <mergeCell ref="B583:E583"/>
    <mergeCell ref="B584:E585"/>
    <mergeCell ref="F584:F585"/>
    <mergeCell ref="G584:G585"/>
    <mergeCell ref="H584:H585"/>
    <mergeCell ref="I584:I585"/>
    <mergeCell ref="J584:J585"/>
    <mergeCell ref="R587:R588"/>
    <mergeCell ref="S587:S588"/>
    <mergeCell ref="K587:K588"/>
    <mergeCell ref="L587:L588"/>
    <mergeCell ref="M587:M588"/>
    <mergeCell ref="N587:N588"/>
    <mergeCell ref="O587:O588"/>
    <mergeCell ref="P587:P588"/>
    <mergeCell ref="Q587:Q588"/>
    <mergeCell ref="B574:E574"/>
    <mergeCell ref="B575:E576"/>
    <mergeCell ref="F575:F576"/>
    <mergeCell ref="G575:G576"/>
    <mergeCell ref="H575:H576"/>
    <mergeCell ref="I575:I576"/>
    <mergeCell ref="J575:J576"/>
    <mergeCell ref="B577:E577"/>
    <mergeCell ref="B578:E579"/>
    <mergeCell ref="F578:F579"/>
    <mergeCell ref="G578:G579"/>
    <mergeCell ref="H578:H579"/>
    <mergeCell ref="I578:I579"/>
    <mergeCell ref="J578:J579"/>
    <mergeCell ref="R581:R582"/>
    <mergeCell ref="S581:S582"/>
    <mergeCell ref="R578:R579"/>
    <mergeCell ref="S578:S579"/>
    <mergeCell ref="T578:T579"/>
    <mergeCell ref="U578:U579"/>
    <mergeCell ref="V578:V579"/>
    <mergeCell ref="W578:W579"/>
    <mergeCell ref="X578:X579"/>
    <mergeCell ref="Y578:Y579"/>
    <mergeCell ref="K578:K579"/>
    <mergeCell ref="L578:L579"/>
    <mergeCell ref="M578:M579"/>
    <mergeCell ref="N578:N579"/>
    <mergeCell ref="O578:O579"/>
    <mergeCell ref="P578:P579"/>
    <mergeCell ref="Q578:Q579"/>
    <mergeCell ref="B580:E580"/>
    <mergeCell ref="B581:E582"/>
    <mergeCell ref="F581:F582"/>
    <mergeCell ref="G581:G582"/>
    <mergeCell ref="H581:H582"/>
    <mergeCell ref="I581:I582"/>
    <mergeCell ref="J581:J582"/>
    <mergeCell ref="T581:T582"/>
    <mergeCell ref="U581:U582"/>
    <mergeCell ref="V581:V582"/>
    <mergeCell ref="W581:W582"/>
    <mergeCell ref="X581:X582"/>
    <mergeCell ref="Y581:Y582"/>
    <mergeCell ref="K581:K582"/>
    <mergeCell ref="L581:L582"/>
    <mergeCell ref="M581:M582"/>
    <mergeCell ref="N581:N582"/>
    <mergeCell ref="T569:T570"/>
    <mergeCell ref="U569:U570"/>
    <mergeCell ref="V569:V570"/>
    <mergeCell ref="W569:W570"/>
    <mergeCell ref="X569:X570"/>
    <mergeCell ref="Y569:Y570"/>
    <mergeCell ref="K569:K570"/>
    <mergeCell ref="L569:L570"/>
    <mergeCell ref="M569:M570"/>
    <mergeCell ref="N569:N570"/>
    <mergeCell ref="O569:O570"/>
    <mergeCell ref="P569:P570"/>
    <mergeCell ref="Q569:Q570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K572:K573"/>
    <mergeCell ref="L572:L573"/>
    <mergeCell ref="M572:M573"/>
    <mergeCell ref="N572:N573"/>
    <mergeCell ref="O572:O573"/>
    <mergeCell ref="P572:P573"/>
    <mergeCell ref="Q572:Q573"/>
    <mergeCell ref="B568:E568"/>
    <mergeCell ref="B569:E570"/>
    <mergeCell ref="F569:F570"/>
    <mergeCell ref="G569:G570"/>
    <mergeCell ref="H569:H570"/>
    <mergeCell ref="I569:I570"/>
    <mergeCell ref="J569:J570"/>
    <mergeCell ref="B571:E571"/>
    <mergeCell ref="B572:E573"/>
    <mergeCell ref="F572:F573"/>
    <mergeCell ref="G572:G573"/>
    <mergeCell ref="H572:H573"/>
    <mergeCell ref="I572:I573"/>
    <mergeCell ref="J572:J573"/>
    <mergeCell ref="R566:R567"/>
    <mergeCell ref="S566:S567"/>
    <mergeCell ref="K566:K567"/>
    <mergeCell ref="L566:L567"/>
    <mergeCell ref="M566:M567"/>
    <mergeCell ref="N566:N567"/>
    <mergeCell ref="O566:O567"/>
    <mergeCell ref="P566:P567"/>
    <mergeCell ref="Q566:Q567"/>
    <mergeCell ref="R569:R570"/>
    <mergeCell ref="S569:S570"/>
    <mergeCell ref="B604:E604"/>
    <mergeCell ref="B605:E606"/>
    <mergeCell ref="F605:F606"/>
    <mergeCell ref="G605:G606"/>
    <mergeCell ref="H605:H606"/>
    <mergeCell ref="I605:I606"/>
    <mergeCell ref="J605:J606"/>
    <mergeCell ref="T602:T603"/>
    <mergeCell ref="T605:T606"/>
    <mergeCell ref="U605:U606"/>
    <mergeCell ref="V605:V606"/>
    <mergeCell ref="W605:W606"/>
    <mergeCell ref="X605:X606"/>
    <mergeCell ref="Y605:Y606"/>
    <mergeCell ref="R602:R603"/>
    <mergeCell ref="S602:S603"/>
    <mergeCell ref="U602:U603"/>
    <mergeCell ref="V602:V603"/>
    <mergeCell ref="W602:W603"/>
    <mergeCell ref="X602:X603"/>
    <mergeCell ref="Y602:Y603"/>
    <mergeCell ref="U599:U600"/>
    <mergeCell ref="V599:V600"/>
    <mergeCell ref="W599:W600"/>
    <mergeCell ref="X599:X600"/>
    <mergeCell ref="Y599:Y600"/>
    <mergeCell ref="K599:K600"/>
    <mergeCell ref="L599:L600"/>
    <mergeCell ref="M599:M600"/>
    <mergeCell ref="N599:N600"/>
    <mergeCell ref="O599:O600"/>
    <mergeCell ref="P599:P600"/>
    <mergeCell ref="Q599:Q600"/>
    <mergeCell ref="K602:K603"/>
    <mergeCell ref="L602:L603"/>
    <mergeCell ref="M602:M603"/>
    <mergeCell ref="N602:N603"/>
    <mergeCell ref="O602:O603"/>
    <mergeCell ref="P602:P603"/>
    <mergeCell ref="Q602:Q603"/>
    <mergeCell ref="B592:E592"/>
    <mergeCell ref="B593:E594"/>
    <mergeCell ref="F593:F594"/>
    <mergeCell ref="G593:G594"/>
    <mergeCell ref="H593:H594"/>
    <mergeCell ref="I593:I594"/>
    <mergeCell ref="J593:J594"/>
    <mergeCell ref="B595:E595"/>
    <mergeCell ref="B596:E597"/>
    <mergeCell ref="F596:F597"/>
    <mergeCell ref="G596:G597"/>
    <mergeCell ref="H596:H597"/>
    <mergeCell ref="I596:I597"/>
    <mergeCell ref="J596:J597"/>
    <mergeCell ref="R599:R600"/>
    <mergeCell ref="S599:S600"/>
    <mergeCell ref="T599:T600"/>
    <mergeCell ref="B598:E598"/>
    <mergeCell ref="B599:E600"/>
    <mergeCell ref="F599:F600"/>
    <mergeCell ref="G599:G600"/>
    <mergeCell ref="H599:H600"/>
    <mergeCell ref="I599:I600"/>
    <mergeCell ref="J599:J600"/>
    <mergeCell ref="R593:R594"/>
    <mergeCell ref="S593:S594"/>
    <mergeCell ref="T593:T594"/>
    <mergeCell ref="U593:U594"/>
    <mergeCell ref="V593:V594"/>
    <mergeCell ref="W593:W594"/>
    <mergeCell ref="X593:X594"/>
    <mergeCell ref="Y593:Y594"/>
    <mergeCell ref="K593:K594"/>
    <mergeCell ref="L593:L594"/>
    <mergeCell ref="M593:M594"/>
    <mergeCell ref="N593:N594"/>
    <mergeCell ref="O593:O594"/>
    <mergeCell ref="P593:P594"/>
    <mergeCell ref="Q593:Q594"/>
    <mergeCell ref="R596:R597"/>
    <mergeCell ref="S596:S597"/>
    <mergeCell ref="T596:T597"/>
    <mergeCell ref="U596:U597"/>
    <mergeCell ref="V596:V597"/>
    <mergeCell ref="W596:W597"/>
    <mergeCell ref="X596:X597"/>
    <mergeCell ref="Y596:Y597"/>
    <mergeCell ref="K596:K597"/>
    <mergeCell ref="L596:L597"/>
    <mergeCell ref="M596:M597"/>
    <mergeCell ref="N596:N597"/>
    <mergeCell ref="O596:O597"/>
    <mergeCell ref="P596:P597"/>
    <mergeCell ref="Q596:Q597"/>
    <mergeCell ref="B586:E586"/>
    <mergeCell ref="B587:E588"/>
    <mergeCell ref="F587:F588"/>
    <mergeCell ref="G587:G588"/>
    <mergeCell ref="H587:H588"/>
    <mergeCell ref="I587:I588"/>
    <mergeCell ref="J587:J588"/>
    <mergeCell ref="R590:R591"/>
    <mergeCell ref="S590:S591"/>
    <mergeCell ref="T590:T591"/>
    <mergeCell ref="U590:U591"/>
    <mergeCell ref="V590:V591"/>
    <mergeCell ref="W590:W591"/>
    <mergeCell ref="X590:X591"/>
    <mergeCell ref="Y590:Y591"/>
    <mergeCell ref="K590:K591"/>
    <mergeCell ref="L590:L591"/>
    <mergeCell ref="M590:M591"/>
    <mergeCell ref="N590:N591"/>
    <mergeCell ref="O590:O591"/>
    <mergeCell ref="P590:P591"/>
    <mergeCell ref="Q590:Q591"/>
    <mergeCell ref="B589:E589"/>
    <mergeCell ref="B590:E591"/>
    <mergeCell ref="F590:F591"/>
    <mergeCell ref="G590:G591"/>
    <mergeCell ref="H590:H591"/>
    <mergeCell ref="I590:I591"/>
    <mergeCell ref="J590:J591"/>
    <mergeCell ref="B358:E358"/>
    <mergeCell ref="B359:E360"/>
    <mergeCell ref="F359:F360"/>
    <mergeCell ref="G359:G360"/>
    <mergeCell ref="H359:H360"/>
    <mergeCell ref="I359:I360"/>
    <mergeCell ref="J359:J360"/>
    <mergeCell ref="R371:R372"/>
    <mergeCell ref="S371:S372"/>
    <mergeCell ref="T371:T372"/>
    <mergeCell ref="U371:U372"/>
    <mergeCell ref="V371:V372"/>
    <mergeCell ref="W371:W372"/>
    <mergeCell ref="X371:X372"/>
    <mergeCell ref="Y371:Y372"/>
    <mergeCell ref="K371:K372"/>
    <mergeCell ref="L371:L372"/>
    <mergeCell ref="M371:M372"/>
    <mergeCell ref="N371:N372"/>
    <mergeCell ref="O371:O372"/>
    <mergeCell ref="P371:P372"/>
    <mergeCell ref="Q371:Q372"/>
    <mergeCell ref="O338:O339"/>
    <mergeCell ref="P338:P339"/>
    <mergeCell ref="Q338:Q339"/>
    <mergeCell ref="K341:K342"/>
    <mergeCell ref="L341:L342"/>
    <mergeCell ref="M341:M342"/>
    <mergeCell ref="N341:N342"/>
    <mergeCell ref="O341:O342"/>
    <mergeCell ref="P341:P342"/>
    <mergeCell ref="Q341:Q342"/>
    <mergeCell ref="T341:T342"/>
    <mergeCell ref="T344:T345"/>
    <mergeCell ref="U344:U345"/>
    <mergeCell ref="V344:V345"/>
    <mergeCell ref="W344:W345"/>
    <mergeCell ref="X344:X345"/>
    <mergeCell ref="Y344:Y345"/>
    <mergeCell ref="R341:R342"/>
    <mergeCell ref="S341:S342"/>
    <mergeCell ref="U341:U342"/>
    <mergeCell ref="V341:V342"/>
    <mergeCell ref="W341:W342"/>
    <mergeCell ref="X341:X342"/>
    <mergeCell ref="Y341:Y342"/>
    <mergeCell ref="B340:E340"/>
    <mergeCell ref="B341:E342"/>
    <mergeCell ref="F341:F342"/>
    <mergeCell ref="G341:G342"/>
    <mergeCell ref="H341:H342"/>
    <mergeCell ref="I341:I342"/>
    <mergeCell ref="J341:J342"/>
    <mergeCell ref="R344:R345"/>
    <mergeCell ref="S344:S345"/>
    <mergeCell ref="K344:K345"/>
    <mergeCell ref="L344:L345"/>
    <mergeCell ref="M344:M345"/>
    <mergeCell ref="N344:N345"/>
    <mergeCell ref="O344:O345"/>
    <mergeCell ref="P344:P345"/>
    <mergeCell ref="Q344:Q345"/>
    <mergeCell ref="B331:E331"/>
    <mergeCell ref="B332:E333"/>
    <mergeCell ref="F332:F333"/>
    <mergeCell ref="G332:G333"/>
    <mergeCell ref="H332:H333"/>
    <mergeCell ref="I332:I333"/>
    <mergeCell ref="J332:J333"/>
    <mergeCell ref="B334:E334"/>
    <mergeCell ref="B335:E336"/>
    <mergeCell ref="F335:F336"/>
    <mergeCell ref="G335:G336"/>
    <mergeCell ref="H335:H336"/>
    <mergeCell ref="I335:I336"/>
    <mergeCell ref="J335:J336"/>
    <mergeCell ref="R338:R339"/>
    <mergeCell ref="S338:S339"/>
    <mergeCell ref="R335:R336"/>
    <mergeCell ref="S335:S336"/>
    <mergeCell ref="T335:T336"/>
    <mergeCell ref="U335:U336"/>
    <mergeCell ref="V335:V336"/>
    <mergeCell ref="W335:W336"/>
    <mergeCell ref="X335:X336"/>
    <mergeCell ref="Y335:Y336"/>
    <mergeCell ref="K335:K336"/>
    <mergeCell ref="L335:L336"/>
    <mergeCell ref="M335:M336"/>
    <mergeCell ref="N335:N336"/>
    <mergeCell ref="O335:O336"/>
    <mergeCell ref="P335:P336"/>
    <mergeCell ref="Q335:Q336"/>
    <mergeCell ref="B337:E337"/>
    <mergeCell ref="B338:E339"/>
    <mergeCell ref="F338:F339"/>
    <mergeCell ref="G338:G339"/>
    <mergeCell ref="H338:H339"/>
    <mergeCell ref="I338:I339"/>
    <mergeCell ref="J338:J339"/>
    <mergeCell ref="T338:T339"/>
    <mergeCell ref="U338:U339"/>
    <mergeCell ref="V338:V339"/>
    <mergeCell ref="W338:W339"/>
    <mergeCell ref="X338:X339"/>
    <mergeCell ref="Y338:Y339"/>
    <mergeCell ref="K338:K339"/>
    <mergeCell ref="L338:L339"/>
    <mergeCell ref="M338:M339"/>
    <mergeCell ref="N338:N339"/>
    <mergeCell ref="V326:V327"/>
    <mergeCell ref="W326:W327"/>
    <mergeCell ref="X326:X327"/>
    <mergeCell ref="Y326:Y327"/>
    <mergeCell ref="K326:K327"/>
    <mergeCell ref="L326:L327"/>
    <mergeCell ref="M326:M327"/>
    <mergeCell ref="N326:N327"/>
    <mergeCell ref="O326:O327"/>
    <mergeCell ref="P326:P327"/>
    <mergeCell ref="Q326:Q327"/>
    <mergeCell ref="R329:R330"/>
    <mergeCell ref="S329:S330"/>
    <mergeCell ref="T329:T330"/>
    <mergeCell ref="U329:U330"/>
    <mergeCell ref="V329:V330"/>
    <mergeCell ref="W329:W330"/>
    <mergeCell ref="X329:X330"/>
    <mergeCell ref="Y329:Y330"/>
    <mergeCell ref="K329:K330"/>
    <mergeCell ref="L329:L330"/>
    <mergeCell ref="M329:M330"/>
    <mergeCell ref="N329:N330"/>
    <mergeCell ref="O329:O330"/>
    <mergeCell ref="P329:P330"/>
    <mergeCell ref="Q329:Q330"/>
    <mergeCell ref="G329:G330"/>
    <mergeCell ref="H329:H330"/>
    <mergeCell ref="I329:I330"/>
    <mergeCell ref="J329:J330"/>
    <mergeCell ref="R323:R324"/>
    <mergeCell ref="S323:S324"/>
    <mergeCell ref="K323:K324"/>
    <mergeCell ref="L323:L324"/>
    <mergeCell ref="M323:M324"/>
    <mergeCell ref="N323:N324"/>
    <mergeCell ref="O323:O324"/>
    <mergeCell ref="P323:P324"/>
    <mergeCell ref="Q323:Q324"/>
    <mergeCell ref="R326:R327"/>
    <mergeCell ref="S326:S327"/>
    <mergeCell ref="T326:T327"/>
    <mergeCell ref="U326:U327"/>
    <mergeCell ref="B361:E361"/>
    <mergeCell ref="B362:E363"/>
    <mergeCell ref="F362:F363"/>
    <mergeCell ref="G362:G363"/>
    <mergeCell ref="H362:H363"/>
    <mergeCell ref="I362:I363"/>
    <mergeCell ref="J362:J363"/>
    <mergeCell ref="T359:T360"/>
    <mergeCell ref="T362:T363"/>
    <mergeCell ref="U362:U363"/>
    <mergeCell ref="V362:V363"/>
    <mergeCell ref="W362:W363"/>
    <mergeCell ref="X362:X363"/>
    <mergeCell ref="Y362:Y363"/>
    <mergeCell ref="R359:R360"/>
    <mergeCell ref="S359:S360"/>
    <mergeCell ref="U359:U360"/>
    <mergeCell ref="V359:V360"/>
    <mergeCell ref="W359:W360"/>
    <mergeCell ref="X359:X360"/>
    <mergeCell ref="Y359:Y360"/>
    <mergeCell ref="U356:U357"/>
    <mergeCell ref="V356:V357"/>
    <mergeCell ref="W356:W357"/>
    <mergeCell ref="X356:X357"/>
    <mergeCell ref="Y356:Y357"/>
    <mergeCell ref="K356:K357"/>
    <mergeCell ref="L356:L357"/>
    <mergeCell ref="M356:M357"/>
    <mergeCell ref="N356:N357"/>
    <mergeCell ref="O356:O357"/>
    <mergeCell ref="P356:P357"/>
    <mergeCell ref="Q356:Q357"/>
    <mergeCell ref="K359:K360"/>
    <mergeCell ref="L359:L360"/>
    <mergeCell ref="M359:M360"/>
    <mergeCell ref="N359:N360"/>
    <mergeCell ref="O359:O360"/>
    <mergeCell ref="P359:P360"/>
    <mergeCell ref="Q359:Q360"/>
    <mergeCell ref="B349:E349"/>
    <mergeCell ref="B350:E351"/>
    <mergeCell ref="F350:F351"/>
    <mergeCell ref="G350:G351"/>
    <mergeCell ref="H350:H351"/>
    <mergeCell ref="I350:I351"/>
    <mergeCell ref="J350:J351"/>
    <mergeCell ref="B352:E352"/>
    <mergeCell ref="B353:E354"/>
    <mergeCell ref="F353:F354"/>
    <mergeCell ref="G353:G354"/>
    <mergeCell ref="H353:H354"/>
    <mergeCell ref="I353:I354"/>
    <mergeCell ref="J353:J354"/>
    <mergeCell ref="R356:R357"/>
    <mergeCell ref="S356:S357"/>
    <mergeCell ref="T356:T357"/>
    <mergeCell ref="B355:E355"/>
    <mergeCell ref="B356:E357"/>
    <mergeCell ref="F356:F357"/>
    <mergeCell ref="G356:G357"/>
    <mergeCell ref="H356:H357"/>
    <mergeCell ref="I356:I357"/>
    <mergeCell ref="J356:J357"/>
    <mergeCell ref="R350:R351"/>
    <mergeCell ref="S350:S351"/>
    <mergeCell ref="T350:T351"/>
    <mergeCell ref="U350:U351"/>
    <mergeCell ref="V350:V351"/>
    <mergeCell ref="W350:W351"/>
    <mergeCell ref="X350:X351"/>
    <mergeCell ref="Y350:Y351"/>
    <mergeCell ref="K350:K351"/>
    <mergeCell ref="L350:L351"/>
    <mergeCell ref="M350:M351"/>
    <mergeCell ref="N350:N351"/>
    <mergeCell ref="O350:O351"/>
    <mergeCell ref="P350:P351"/>
    <mergeCell ref="Q350:Q351"/>
    <mergeCell ref="R353:R354"/>
    <mergeCell ref="S353:S354"/>
    <mergeCell ref="T353:T354"/>
    <mergeCell ref="U353:U354"/>
    <mergeCell ref="V353:V354"/>
    <mergeCell ref="W353:W354"/>
    <mergeCell ref="X353:X354"/>
    <mergeCell ref="Y353:Y354"/>
    <mergeCell ref="K353:K354"/>
    <mergeCell ref="L353:L354"/>
    <mergeCell ref="M353:M354"/>
    <mergeCell ref="N353:N354"/>
    <mergeCell ref="O353:O354"/>
    <mergeCell ref="P353:P354"/>
    <mergeCell ref="Q353:Q354"/>
    <mergeCell ref="B343:E343"/>
    <mergeCell ref="B344:E345"/>
    <mergeCell ref="F344:F345"/>
    <mergeCell ref="G344:G345"/>
    <mergeCell ref="H344:H345"/>
    <mergeCell ref="I344:I345"/>
    <mergeCell ref="J344:J345"/>
    <mergeCell ref="R347:R348"/>
    <mergeCell ref="S347:S348"/>
    <mergeCell ref="T347:T348"/>
    <mergeCell ref="U347:U348"/>
    <mergeCell ref="V347:V348"/>
    <mergeCell ref="W347:W348"/>
    <mergeCell ref="X347:X348"/>
    <mergeCell ref="Y347:Y348"/>
    <mergeCell ref="K347:K348"/>
    <mergeCell ref="L347:L348"/>
    <mergeCell ref="M347:M348"/>
    <mergeCell ref="N347:N348"/>
    <mergeCell ref="O347:O348"/>
    <mergeCell ref="P347:P348"/>
    <mergeCell ref="Q347:Q348"/>
    <mergeCell ref="B346:E346"/>
    <mergeCell ref="B347:E348"/>
    <mergeCell ref="F347:F348"/>
    <mergeCell ref="G347:G348"/>
    <mergeCell ref="H347:H348"/>
    <mergeCell ref="I347:I348"/>
    <mergeCell ref="J347:J348"/>
    <mergeCell ref="B319:E319"/>
    <mergeCell ref="B320:E321"/>
    <mergeCell ref="F320:F321"/>
    <mergeCell ref="G320:G321"/>
    <mergeCell ref="H320:H321"/>
    <mergeCell ref="I320:I321"/>
    <mergeCell ref="J320:J321"/>
    <mergeCell ref="R332:R333"/>
    <mergeCell ref="S332:S333"/>
    <mergeCell ref="T332:T333"/>
    <mergeCell ref="U332:U333"/>
    <mergeCell ref="V332:V333"/>
    <mergeCell ref="W332:W333"/>
    <mergeCell ref="X332:X333"/>
    <mergeCell ref="Y332:Y333"/>
    <mergeCell ref="K332:K333"/>
    <mergeCell ref="L332:L333"/>
    <mergeCell ref="M332:M333"/>
    <mergeCell ref="N332:N333"/>
    <mergeCell ref="O332:O333"/>
    <mergeCell ref="P332:P333"/>
    <mergeCell ref="Q332:Q333"/>
    <mergeCell ref="B325:E325"/>
    <mergeCell ref="B326:E327"/>
    <mergeCell ref="F326:F327"/>
    <mergeCell ref="G326:G327"/>
    <mergeCell ref="H326:H327"/>
    <mergeCell ref="I326:I327"/>
    <mergeCell ref="J326:J327"/>
    <mergeCell ref="B328:E328"/>
    <mergeCell ref="B329:E330"/>
    <mergeCell ref="F329:F330"/>
    <mergeCell ref="O299:O300"/>
    <mergeCell ref="P299:P300"/>
    <mergeCell ref="Q299:Q300"/>
    <mergeCell ref="K302:K303"/>
    <mergeCell ref="L302:L303"/>
    <mergeCell ref="M302:M303"/>
    <mergeCell ref="N302:N303"/>
    <mergeCell ref="O302:O303"/>
    <mergeCell ref="P302:P303"/>
    <mergeCell ref="Q302:Q303"/>
    <mergeCell ref="T302:T303"/>
    <mergeCell ref="T305:T306"/>
    <mergeCell ref="U305:U306"/>
    <mergeCell ref="V305:V306"/>
    <mergeCell ref="W305:W306"/>
    <mergeCell ref="X305:X306"/>
    <mergeCell ref="Y305:Y306"/>
    <mergeCell ref="R302:R303"/>
    <mergeCell ref="S302:S303"/>
    <mergeCell ref="U302:U303"/>
    <mergeCell ref="V302:V303"/>
    <mergeCell ref="W302:W303"/>
    <mergeCell ref="X302:X303"/>
    <mergeCell ref="Y302:Y303"/>
    <mergeCell ref="B301:E301"/>
    <mergeCell ref="B302:E303"/>
    <mergeCell ref="F302:F303"/>
    <mergeCell ref="G302:G303"/>
    <mergeCell ref="H302:H303"/>
    <mergeCell ref="I302:I303"/>
    <mergeCell ref="J302:J303"/>
    <mergeCell ref="R305:R306"/>
    <mergeCell ref="S305:S306"/>
    <mergeCell ref="K305:K306"/>
    <mergeCell ref="L305:L306"/>
    <mergeCell ref="M305:M306"/>
    <mergeCell ref="N305:N306"/>
    <mergeCell ref="O305:O306"/>
    <mergeCell ref="P305:P306"/>
    <mergeCell ref="Q305:Q306"/>
    <mergeCell ref="B292:E292"/>
    <mergeCell ref="B293:E294"/>
    <mergeCell ref="F293:F294"/>
    <mergeCell ref="G293:G294"/>
    <mergeCell ref="H293:H294"/>
    <mergeCell ref="I293:I294"/>
    <mergeCell ref="J293:J294"/>
    <mergeCell ref="B295:E295"/>
    <mergeCell ref="B296:E297"/>
    <mergeCell ref="F296:F297"/>
    <mergeCell ref="G296:G297"/>
    <mergeCell ref="H296:H297"/>
    <mergeCell ref="I296:I297"/>
    <mergeCell ref="J296:J297"/>
    <mergeCell ref="R299:R300"/>
    <mergeCell ref="S299:S300"/>
    <mergeCell ref="R296:R297"/>
    <mergeCell ref="S296:S297"/>
    <mergeCell ref="T296:T297"/>
    <mergeCell ref="U296:U297"/>
    <mergeCell ref="V296:V297"/>
    <mergeCell ref="W296:W297"/>
    <mergeCell ref="X296:X297"/>
    <mergeCell ref="Y296:Y297"/>
    <mergeCell ref="K296:K297"/>
    <mergeCell ref="L296:L297"/>
    <mergeCell ref="M296:M297"/>
    <mergeCell ref="N296:N297"/>
    <mergeCell ref="O296:O297"/>
    <mergeCell ref="P296:P297"/>
    <mergeCell ref="Q296:Q297"/>
    <mergeCell ref="B298:E298"/>
    <mergeCell ref="B299:E300"/>
    <mergeCell ref="F299:F300"/>
    <mergeCell ref="G299:G300"/>
    <mergeCell ref="H299:H300"/>
    <mergeCell ref="I299:I300"/>
    <mergeCell ref="J299:J300"/>
    <mergeCell ref="T299:T300"/>
    <mergeCell ref="U299:U300"/>
    <mergeCell ref="V299:V300"/>
    <mergeCell ref="W299:W300"/>
    <mergeCell ref="X299:X300"/>
    <mergeCell ref="Y299:Y300"/>
    <mergeCell ref="K299:K300"/>
    <mergeCell ref="L299:L300"/>
    <mergeCell ref="M299:M300"/>
    <mergeCell ref="N299:N300"/>
    <mergeCell ref="V287:V288"/>
    <mergeCell ref="W287:W288"/>
    <mergeCell ref="X287:X288"/>
    <mergeCell ref="Y287:Y288"/>
    <mergeCell ref="K287:K288"/>
    <mergeCell ref="L287:L288"/>
    <mergeCell ref="M287:M288"/>
    <mergeCell ref="N287:N288"/>
    <mergeCell ref="O287:O288"/>
    <mergeCell ref="P287:P288"/>
    <mergeCell ref="Q287:Q288"/>
    <mergeCell ref="R290:R291"/>
    <mergeCell ref="S290:S291"/>
    <mergeCell ref="T290:T291"/>
    <mergeCell ref="U290:U291"/>
    <mergeCell ref="V290:V291"/>
    <mergeCell ref="W290:W291"/>
    <mergeCell ref="X290:X291"/>
    <mergeCell ref="Y290:Y291"/>
    <mergeCell ref="K290:K291"/>
    <mergeCell ref="L290:L291"/>
    <mergeCell ref="M290:M291"/>
    <mergeCell ref="N290:N291"/>
    <mergeCell ref="O290:O291"/>
    <mergeCell ref="P290:P291"/>
    <mergeCell ref="Q290:Q291"/>
    <mergeCell ref="G290:G291"/>
    <mergeCell ref="H290:H291"/>
    <mergeCell ref="I290:I291"/>
    <mergeCell ref="J290:J291"/>
    <mergeCell ref="R284:R285"/>
    <mergeCell ref="S284:S285"/>
    <mergeCell ref="K284:K285"/>
    <mergeCell ref="L284:L285"/>
    <mergeCell ref="M284:M285"/>
    <mergeCell ref="N284:N285"/>
    <mergeCell ref="O284:O285"/>
    <mergeCell ref="P284:P285"/>
    <mergeCell ref="Q284:Q285"/>
    <mergeCell ref="R287:R288"/>
    <mergeCell ref="S287:S288"/>
    <mergeCell ref="T287:T288"/>
    <mergeCell ref="U287:U288"/>
    <mergeCell ref="B322:E322"/>
    <mergeCell ref="B323:E324"/>
    <mergeCell ref="F323:F324"/>
    <mergeCell ref="G323:G324"/>
    <mergeCell ref="H323:H324"/>
    <mergeCell ref="I323:I324"/>
    <mergeCell ref="J323:J324"/>
    <mergeCell ref="T320:T321"/>
    <mergeCell ref="T323:T324"/>
    <mergeCell ref="U323:U324"/>
    <mergeCell ref="V323:V324"/>
    <mergeCell ref="W323:W324"/>
    <mergeCell ref="X323:X324"/>
    <mergeCell ref="Y323:Y324"/>
    <mergeCell ref="R320:R321"/>
    <mergeCell ref="S320:S321"/>
    <mergeCell ref="U320:U321"/>
    <mergeCell ref="V320:V321"/>
    <mergeCell ref="W320:W321"/>
    <mergeCell ref="X320:X321"/>
    <mergeCell ref="Y320:Y321"/>
    <mergeCell ref="U317:U318"/>
    <mergeCell ref="V317:V318"/>
    <mergeCell ref="W317:W318"/>
    <mergeCell ref="X317:X318"/>
    <mergeCell ref="Y317:Y318"/>
    <mergeCell ref="K317:K318"/>
    <mergeCell ref="L317:L318"/>
    <mergeCell ref="M317:M318"/>
    <mergeCell ref="N317:N318"/>
    <mergeCell ref="O317:O318"/>
    <mergeCell ref="P317:P318"/>
    <mergeCell ref="Q317:Q318"/>
    <mergeCell ref="K320:K321"/>
    <mergeCell ref="L320:L321"/>
    <mergeCell ref="M320:M321"/>
    <mergeCell ref="N320:N321"/>
    <mergeCell ref="O320:O321"/>
    <mergeCell ref="P320:P321"/>
    <mergeCell ref="Q320:Q321"/>
    <mergeCell ref="B310:E310"/>
    <mergeCell ref="B311:E312"/>
    <mergeCell ref="F311:F312"/>
    <mergeCell ref="G311:G312"/>
    <mergeCell ref="H311:H312"/>
    <mergeCell ref="I311:I312"/>
    <mergeCell ref="J311:J312"/>
    <mergeCell ref="B313:E313"/>
    <mergeCell ref="B314:E315"/>
    <mergeCell ref="F314:F315"/>
    <mergeCell ref="G314:G315"/>
    <mergeCell ref="H314:H315"/>
    <mergeCell ref="I314:I315"/>
    <mergeCell ref="J314:J315"/>
    <mergeCell ref="R317:R318"/>
    <mergeCell ref="S317:S318"/>
    <mergeCell ref="T317:T318"/>
    <mergeCell ref="B316:E316"/>
    <mergeCell ref="B317:E318"/>
    <mergeCell ref="F317:F318"/>
    <mergeCell ref="G317:G318"/>
    <mergeCell ref="H317:H318"/>
    <mergeCell ref="I317:I318"/>
    <mergeCell ref="J317:J318"/>
    <mergeCell ref="R311:R312"/>
    <mergeCell ref="S311:S312"/>
    <mergeCell ref="T311:T312"/>
    <mergeCell ref="U311:U312"/>
    <mergeCell ref="V311:V312"/>
    <mergeCell ref="W311:W312"/>
    <mergeCell ref="X311:X312"/>
    <mergeCell ref="Y311:Y312"/>
    <mergeCell ref="K311:K312"/>
    <mergeCell ref="L311:L312"/>
    <mergeCell ref="M311:M312"/>
    <mergeCell ref="N311:N312"/>
    <mergeCell ref="O311:O312"/>
    <mergeCell ref="P311:P312"/>
    <mergeCell ref="Q311:Q312"/>
    <mergeCell ref="R314:R315"/>
    <mergeCell ref="S314:S315"/>
    <mergeCell ref="T314:T315"/>
    <mergeCell ref="U314:U315"/>
    <mergeCell ref="V314:V315"/>
    <mergeCell ref="W314:W315"/>
    <mergeCell ref="X314:X315"/>
    <mergeCell ref="Y314:Y315"/>
    <mergeCell ref="K314:K315"/>
    <mergeCell ref="L314:L315"/>
    <mergeCell ref="M314:M315"/>
    <mergeCell ref="N314:N315"/>
    <mergeCell ref="O314:O315"/>
    <mergeCell ref="P314:P315"/>
    <mergeCell ref="Q314:Q315"/>
    <mergeCell ref="B304:E304"/>
    <mergeCell ref="B305:E306"/>
    <mergeCell ref="F305:F306"/>
    <mergeCell ref="G305:G306"/>
    <mergeCell ref="H305:H306"/>
    <mergeCell ref="I305:I306"/>
    <mergeCell ref="J305:J306"/>
    <mergeCell ref="R308:R309"/>
    <mergeCell ref="S308:S309"/>
    <mergeCell ref="T308:T309"/>
    <mergeCell ref="U308:U309"/>
    <mergeCell ref="V308:V309"/>
    <mergeCell ref="W308:W309"/>
    <mergeCell ref="X308:X309"/>
    <mergeCell ref="Y308:Y309"/>
    <mergeCell ref="K308:K309"/>
    <mergeCell ref="L308:L309"/>
    <mergeCell ref="M308:M309"/>
    <mergeCell ref="N308:N309"/>
    <mergeCell ref="O308:O309"/>
    <mergeCell ref="P308:P309"/>
    <mergeCell ref="Q308:Q309"/>
    <mergeCell ref="B307:E307"/>
    <mergeCell ref="B308:E309"/>
    <mergeCell ref="F308:F309"/>
    <mergeCell ref="G308:G309"/>
    <mergeCell ref="H308:H309"/>
    <mergeCell ref="I308:I309"/>
    <mergeCell ref="J308:J309"/>
    <mergeCell ref="B280:E280"/>
    <mergeCell ref="B281:E282"/>
    <mergeCell ref="F281:F282"/>
    <mergeCell ref="G281:G282"/>
    <mergeCell ref="H281:H282"/>
    <mergeCell ref="I281:I282"/>
    <mergeCell ref="J281:J282"/>
    <mergeCell ref="R293:R294"/>
    <mergeCell ref="S293:S294"/>
    <mergeCell ref="T293:T294"/>
    <mergeCell ref="U293:U294"/>
    <mergeCell ref="V293:V294"/>
    <mergeCell ref="W293:W294"/>
    <mergeCell ref="X293:X294"/>
    <mergeCell ref="Y293:Y294"/>
    <mergeCell ref="K293:K294"/>
    <mergeCell ref="L293:L294"/>
    <mergeCell ref="M293:M294"/>
    <mergeCell ref="N293:N294"/>
    <mergeCell ref="O293:O294"/>
    <mergeCell ref="P293:P294"/>
    <mergeCell ref="Q293:Q294"/>
    <mergeCell ref="B286:E286"/>
    <mergeCell ref="B287:E288"/>
    <mergeCell ref="F287:F288"/>
    <mergeCell ref="G287:G288"/>
    <mergeCell ref="H287:H288"/>
    <mergeCell ref="I287:I288"/>
    <mergeCell ref="J287:J288"/>
    <mergeCell ref="B289:E289"/>
    <mergeCell ref="B290:E291"/>
    <mergeCell ref="F290:F291"/>
    <mergeCell ref="O260:O261"/>
    <mergeCell ref="P260:P261"/>
    <mergeCell ref="Q260:Q261"/>
    <mergeCell ref="K263:K264"/>
    <mergeCell ref="L263:L264"/>
    <mergeCell ref="M263:M264"/>
    <mergeCell ref="N263:N264"/>
    <mergeCell ref="O263:O264"/>
    <mergeCell ref="P263:P264"/>
    <mergeCell ref="Q263:Q264"/>
    <mergeCell ref="T263:T264"/>
    <mergeCell ref="T266:T267"/>
    <mergeCell ref="U266:U267"/>
    <mergeCell ref="V266:V267"/>
    <mergeCell ref="W266:W267"/>
    <mergeCell ref="X266:X267"/>
    <mergeCell ref="Y266:Y267"/>
    <mergeCell ref="R263:R264"/>
    <mergeCell ref="S263:S264"/>
    <mergeCell ref="U263:U264"/>
    <mergeCell ref="V263:V264"/>
    <mergeCell ref="W263:W264"/>
    <mergeCell ref="X263:X264"/>
    <mergeCell ref="Y263:Y264"/>
    <mergeCell ref="B262:E262"/>
    <mergeCell ref="B263:E264"/>
    <mergeCell ref="F263:F264"/>
    <mergeCell ref="G263:G264"/>
    <mergeCell ref="H263:H264"/>
    <mergeCell ref="I263:I264"/>
    <mergeCell ref="J263:J264"/>
    <mergeCell ref="R266:R267"/>
    <mergeCell ref="S266:S267"/>
    <mergeCell ref="K266:K267"/>
    <mergeCell ref="L266:L267"/>
    <mergeCell ref="M266:M267"/>
    <mergeCell ref="N266:N267"/>
    <mergeCell ref="O266:O267"/>
    <mergeCell ref="P266:P267"/>
    <mergeCell ref="Q266:Q267"/>
    <mergeCell ref="B253:E253"/>
    <mergeCell ref="B254:E255"/>
    <mergeCell ref="F254:F255"/>
    <mergeCell ref="G254:G255"/>
    <mergeCell ref="H254:H255"/>
    <mergeCell ref="I254:I255"/>
    <mergeCell ref="J254:J255"/>
    <mergeCell ref="B256:E256"/>
    <mergeCell ref="B257:E258"/>
    <mergeCell ref="F257:F258"/>
    <mergeCell ref="G257:G258"/>
    <mergeCell ref="H257:H258"/>
    <mergeCell ref="I257:I258"/>
    <mergeCell ref="J257:J258"/>
    <mergeCell ref="R260:R261"/>
    <mergeCell ref="S260:S261"/>
    <mergeCell ref="R257:R258"/>
    <mergeCell ref="S257:S258"/>
    <mergeCell ref="T257:T258"/>
    <mergeCell ref="U257:U258"/>
    <mergeCell ref="V257:V258"/>
    <mergeCell ref="W257:W258"/>
    <mergeCell ref="X257:X258"/>
    <mergeCell ref="Y257:Y258"/>
    <mergeCell ref="K257:K258"/>
    <mergeCell ref="L257:L258"/>
    <mergeCell ref="M257:M258"/>
    <mergeCell ref="N257:N258"/>
    <mergeCell ref="O257:O258"/>
    <mergeCell ref="P257:P258"/>
    <mergeCell ref="Q257:Q258"/>
    <mergeCell ref="B259:E259"/>
    <mergeCell ref="B260:E261"/>
    <mergeCell ref="F260:F261"/>
    <mergeCell ref="G260:G261"/>
    <mergeCell ref="H260:H261"/>
    <mergeCell ref="I260:I261"/>
    <mergeCell ref="J260:J261"/>
    <mergeCell ref="T260:T261"/>
    <mergeCell ref="U260:U261"/>
    <mergeCell ref="V260:V261"/>
    <mergeCell ref="W260:W261"/>
    <mergeCell ref="X260:X261"/>
    <mergeCell ref="Y260:Y261"/>
    <mergeCell ref="K260:K261"/>
    <mergeCell ref="L260:L261"/>
    <mergeCell ref="M260:M261"/>
    <mergeCell ref="N260:N261"/>
    <mergeCell ref="V248:V249"/>
    <mergeCell ref="W248:W249"/>
    <mergeCell ref="X248:X249"/>
    <mergeCell ref="Y248:Y249"/>
    <mergeCell ref="K248:K249"/>
    <mergeCell ref="L248:L249"/>
    <mergeCell ref="M248:M249"/>
    <mergeCell ref="N248:N249"/>
    <mergeCell ref="O248:O249"/>
    <mergeCell ref="P248:P249"/>
    <mergeCell ref="Q248:Q249"/>
    <mergeCell ref="R251:R252"/>
    <mergeCell ref="S251:S252"/>
    <mergeCell ref="T251:T252"/>
    <mergeCell ref="U251:U252"/>
    <mergeCell ref="V251:V252"/>
    <mergeCell ref="W251:W252"/>
    <mergeCell ref="X251:X252"/>
    <mergeCell ref="Y251:Y252"/>
    <mergeCell ref="K251:K252"/>
    <mergeCell ref="L251:L252"/>
    <mergeCell ref="M251:M252"/>
    <mergeCell ref="N251:N252"/>
    <mergeCell ref="O251:O252"/>
    <mergeCell ref="P251:P252"/>
    <mergeCell ref="Q251:Q252"/>
    <mergeCell ref="G251:G252"/>
    <mergeCell ref="H251:H252"/>
    <mergeCell ref="I251:I252"/>
    <mergeCell ref="J251:J252"/>
    <mergeCell ref="R245:R246"/>
    <mergeCell ref="S245:S246"/>
    <mergeCell ref="K245:K246"/>
    <mergeCell ref="L245:L246"/>
    <mergeCell ref="M245:M246"/>
    <mergeCell ref="N245:N246"/>
    <mergeCell ref="O245:O246"/>
    <mergeCell ref="P245:P246"/>
    <mergeCell ref="Q245:Q246"/>
    <mergeCell ref="R248:R249"/>
    <mergeCell ref="S248:S249"/>
    <mergeCell ref="T248:T249"/>
    <mergeCell ref="U248:U249"/>
    <mergeCell ref="B283:E283"/>
    <mergeCell ref="B284:E285"/>
    <mergeCell ref="F284:F285"/>
    <mergeCell ref="G284:G285"/>
    <mergeCell ref="H284:H285"/>
    <mergeCell ref="I284:I285"/>
    <mergeCell ref="J284:J285"/>
    <mergeCell ref="T281:T282"/>
    <mergeCell ref="T284:T285"/>
    <mergeCell ref="U284:U285"/>
    <mergeCell ref="V284:V285"/>
    <mergeCell ref="W284:W285"/>
    <mergeCell ref="X284:X285"/>
    <mergeCell ref="Y284:Y285"/>
    <mergeCell ref="R281:R282"/>
    <mergeCell ref="S281:S282"/>
    <mergeCell ref="U281:U282"/>
    <mergeCell ref="V281:V282"/>
    <mergeCell ref="W281:W282"/>
    <mergeCell ref="X281:X282"/>
    <mergeCell ref="Y281:Y282"/>
    <mergeCell ref="U278:U279"/>
    <mergeCell ref="V278:V279"/>
    <mergeCell ref="W278:W279"/>
    <mergeCell ref="X278:X279"/>
    <mergeCell ref="Y278:Y279"/>
    <mergeCell ref="K278:K279"/>
    <mergeCell ref="L278:L279"/>
    <mergeCell ref="M278:M279"/>
    <mergeCell ref="N278:N279"/>
    <mergeCell ref="O278:O279"/>
    <mergeCell ref="P278:P279"/>
    <mergeCell ref="Q278:Q279"/>
    <mergeCell ref="K281:K282"/>
    <mergeCell ref="L281:L282"/>
    <mergeCell ref="M281:M282"/>
    <mergeCell ref="N281:N282"/>
    <mergeCell ref="O281:O282"/>
    <mergeCell ref="P281:P282"/>
    <mergeCell ref="Q281:Q282"/>
    <mergeCell ref="B271:E271"/>
    <mergeCell ref="B272:E273"/>
    <mergeCell ref="F272:F273"/>
    <mergeCell ref="G272:G273"/>
    <mergeCell ref="H272:H273"/>
    <mergeCell ref="I272:I273"/>
    <mergeCell ref="J272:J273"/>
    <mergeCell ref="B274:E274"/>
    <mergeCell ref="B275:E276"/>
    <mergeCell ref="F275:F276"/>
    <mergeCell ref="G275:G276"/>
    <mergeCell ref="H275:H276"/>
    <mergeCell ref="I275:I276"/>
    <mergeCell ref="J275:J276"/>
    <mergeCell ref="R278:R279"/>
    <mergeCell ref="S278:S279"/>
    <mergeCell ref="T278:T279"/>
    <mergeCell ref="B277:E277"/>
    <mergeCell ref="B278:E279"/>
    <mergeCell ref="F278:F279"/>
    <mergeCell ref="G278:G279"/>
    <mergeCell ref="H278:H279"/>
    <mergeCell ref="I278:I279"/>
    <mergeCell ref="J278:J279"/>
    <mergeCell ref="R272:R273"/>
    <mergeCell ref="S272:S273"/>
    <mergeCell ref="T272:T273"/>
    <mergeCell ref="U272:U273"/>
    <mergeCell ref="V272:V273"/>
    <mergeCell ref="W272:W273"/>
    <mergeCell ref="X272:X273"/>
    <mergeCell ref="Y272:Y273"/>
    <mergeCell ref="K272:K273"/>
    <mergeCell ref="L272:L273"/>
    <mergeCell ref="M272:M273"/>
    <mergeCell ref="N272:N273"/>
    <mergeCell ref="O272:O273"/>
    <mergeCell ref="P272:P273"/>
    <mergeCell ref="Q272:Q273"/>
    <mergeCell ref="R275:R276"/>
    <mergeCell ref="S275:S276"/>
    <mergeCell ref="T275:T276"/>
    <mergeCell ref="U275:U276"/>
    <mergeCell ref="V275:V276"/>
    <mergeCell ref="W275:W276"/>
    <mergeCell ref="X275:X276"/>
    <mergeCell ref="Y275:Y276"/>
    <mergeCell ref="K275:K276"/>
    <mergeCell ref="L275:L276"/>
    <mergeCell ref="M275:M276"/>
    <mergeCell ref="N275:N276"/>
    <mergeCell ref="O275:O276"/>
    <mergeCell ref="P275:P276"/>
    <mergeCell ref="Q275:Q276"/>
    <mergeCell ref="B265:E265"/>
    <mergeCell ref="B266:E267"/>
    <mergeCell ref="F266:F267"/>
    <mergeCell ref="G266:G267"/>
    <mergeCell ref="H266:H267"/>
    <mergeCell ref="I266:I267"/>
    <mergeCell ref="J266:J267"/>
    <mergeCell ref="R269:R270"/>
    <mergeCell ref="S269:S270"/>
    <mergeCell ref="T269:T270"/>
    <mergeCell ref="U269:U270"/>
    <mergeCell ref="V269:V270"/>
    <mergeCell ref="W269:W270"/>
    <mergeCell ref="X269:X270"/>
    <mergeCell ref="Y269:Y270"/>
    <mergeCell ref="K269:K270"/>
    <mergeCell ref="L269:L270"/>
    <mergeCell ref="M269:M270"/>
    <mergeCell ref="N269:N270"/>
    <mergeCell ref="O269:O270"/>
    <mergeCell ref="P269:P270"/>
    <mergeCell ref="Q269:Q270"/>
    <mergeCell ref="B268:E268"/>
    <mergeCell ref="B269:E270"/>
    <mergeCell ref="F269:F270"/>
    <mergeCell ref="G269:G270"/>
    <mergeCell ref="H269:H270"/>
    <mergeCell ref="I269:I270"/>
    <mergeCell ref="J269:J270"/>
    <mergeCell ref="B241:E241"/>
    <mergeCell ref="B242:E243"/>
    <mergeCell ref="F242:F243"/>
    <mergeCell ref="G242:G243"/>
    <mergeCell ref="H242:H243"/>
    <mergeCell ref="I242:I243"/>
    <mergeCell ref="J242:J243"/>
    <mergeCell ref="R254:R255"/>
    <mergeCell ref="S254:S255"/>
    <mergeCell ref="T254:T255"/>
    <mergeCell ref="U254:U255"/>
    <mergeCell ref="V254:V255"/>
    <mergeCell ref="W254:W255"/>
    <mergeCell ref="X254:X255"/>
    <mergeCell ref="Y254:Y255"/>
    <mergeCell ref="K254:K255"/>
    <mergeCell ref="L254:L255"/>
    <mergeCell ref="M254:M255"/>
    <mergeCell ref="N254:N255"/>
    <mergeCell ref="O254:O255"/>
    <mergeCell ref="P254:P255"/>
    <mergeCell ref="Q254:Q255"/>
    <mergeCell ref="B247:E247"/>
    <mergeCell ref="B248:E249"/>
    <mergeCell ref="F248:F249"/>
    <mergeCell ref="G248:G249"/>
    <mergeCell ref="H248:H249"/>
    <mergeCell ref="I248:I249"/>
    <mergeCell ref="J248:J249"/>
    <mergeCell ref="B250:E250"/>
    <mergeCell ref="B251:E252"/>
    <mergeCell ref="F251:F252"/>
    <mergeCell ref="O221:O222"/>
    <mergeCell ref="P221:P222"/>
    <mergeCell ref="Q221:Q222"/>
    <mergeCell ref="K224:K225"/>
    <mergeCell ref="L224:L225"/>
    <mergeCell ref="M224:M225"/>
    <mergeCell ref="N224:N225"/>
    <mergeCell ref="O224:O225"/>
    <mergeCell ref="P224:P225"/>
    <mergeCell ref="Q224:Q225"/>
    <mergeCell ref="T224:T225"/>
    <mergeCell ref="T227:T228"/>
    <mergeCell ref="U227:U228"/>
    <mergeCell ref="V227:V228"/>
    <mergeCell ref="W227:W228"/>
    <mergeCell ref="X227:X228"/>
    <mergeCell ref="Y227:Y228"/>
    <mergeCell ref="R224:R225"/>
    <mergeCell ref="S224:S225"/>
    <mergeCell ref="U224:U225"/>
    <mergeCell ref="V224:V225"/>
    <mergeCell ref="W224:W225"/>
    <mergeCell ref="X224:X225"/>
    <mergeCell ref="Y224:Y225"/>
    <mergeCell ref="B223:E223"/>
    <mergeCell ref="B224:E225"/>
    <mergeCell ref="F224:F225"/>
    <mergeCell ref="G224:G225"/>
    <mergeCell ref="H224:H225"/>
    <mergeCell ref="I224:I225"/>
    <mergeCell ref="J224:J225"/>
    <mergeCell ref="R227:R228"/>
    <mergeCell ref="S227:S228"/>
    <mergeCell ref="K227:K228"/>
    <mergeCell ref="L227:L228"/>
    <mergeCell ref="M227:M228"/>
    <mergeCell ref="N227:N228"/>
    <mergeCell ref="O227:O228"/>
    <mergeCell ref="P227:P228"/>
    <mergeCell ref="Q227:Q228"/>
    <mergeCell ref="B214:E214"/>
    <mergeCell ref="B215:E216"/>
    <mergeCell ref="F215:F216"/>
    <mergeCell ref="G215:G216"/>
    <mergeCell ref="H215:H216"/>
    <mergeCell ref="I215:I216"/>
    <mergeCell ref="J215:J216"/>
    <mergeCell ref="B217:E217"/>
    <mergeCell ref="B218:E219"/>
    <mergeCell ref="F218:F219"/>
    <mergeCell ref="G218:G219"/>
    <mergeCell ref="H218:H219"/>
    <mergeCell ref="I218:I219"/>
    <mergeCell ref="J218:J219"/>
    <mergeCell ref="R221:R222"/>
    <mergeCell ref="S221:S222"/>
    <mergeCell ref="R218:R219"/>
    <mergeCell ref="S218:S219"/>
    <mergeCell ref="T218:T219"/>
    <mergeCell ref="U218:U219"/>
    <mergeCell ref="V218:V219"/>
    <mergeCell ref="W218:W219"/>
    <mergeCell ref="X218:X219"/>
    <mergeCell ref="Y218:Y219"/>
    <mergeCell ref="K218:K219"/>
    <mergeCell ref="L218:L219"/>
    <mergeCell ref="M218:M219"/>
    <mergeCell ref="N218:N219"/>
    <mergeCell ref="O218:O219"/>
    <mergeCell ref="P218:P219"/>
    <mergeCell ref="Q218:Q219"/>
    <mergeCell ref="B220:E220"/>
    <mergeCell ref="B221:E222"/>
    <mergeCell ref="F221:F222"/>
    <mergeCell ref="G221:G222"/>
    <mergeCell ref="H221:H222"/>
    <mergeCell ref="I221:I222"/>
    <mergeCell ref="J221:J222"/>
    <mergeCell ref="T221:T222"/>
    <mergeCell ref="U221:U222"/>
    <mergeCell ref="V221:V222"/>
    <mergeCell ref="W221:W222"/>
    <mergeCell ref="X221:X222"/>
    <mergeCell ref="Y221:Y222"/>
    <mergeCell ref="K221:K222"/>
    <mergeCell ref="L221:L222"/>
    <mergeCell ref="M221:M222"/>
    <mergeCell ref="N221:N222"/>
    <mergeCell ref="V209:V210"/>
    <mergeCell ref="W209:W210"/>
    <mergeCell ref="X209:X210"/>
    <mergeCell ref="Y209:Y210"/>
    <mergeCell ref="K209:K210"/>
    <mergeCell ref="L209:L210"/>
    <mergeCell ref="M209:M210"/>
    <mergeCell ref="N209:N210"/>
    <mergeCell ref="O209:O210"/>
    <mergeCell ref="P209:P210"/>
    <mergeCell ref="Q209:Q210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K212:K213"/>
    <mergeCell ref="L212:L213"/>
    <mergeCell ref="M212:M213"/>
    <mergeCell ref="N212:N213"/>
    <mergeCell ref="O212:O213"/>
    <mergeCell ref="P212:P213"/>
    <mergeCell ref="Q212:Q213"/>
    <mergeCell ref="G212:G213"/>
    <mergeCell ref="H212:H213"/>
    <mergeCell ref="I212:I213"/>
    <mergeCell ref="J212:J213"/>
    <mergeCell ref="R206:R207"/>
    <mergeCell ref="S206:S207"/>
    <mergeCell ref="K206:K207"/>
    <mergeCell ref="L206:L207"/>
    <mergeCell ref="M206:M207"/>
    <mergeCell ref="N206:N207"/>
    <mergeCell ref="O206:O207"/>
    <mergeCell ref="P206:P207"/>
    <mergeCell ref="Q206:Q207"/>
    <mergeCell ref="R209:R210"/>
    <mergeCell ref="S209:S210"/>
    <mergeCell ref="T209:T210"/>
    <mergeCell ref="U209:U210"/>
    <mergeCell ref="B244:E244"/>
    <mergeCell ref="B245:E246"/>
    <mergeCell ref="F245:F246"/>
    <mergeCell ref="G245:G246"/>
    <mergeCell ref="H245:H246"/>
    <mergeCell ref="I245:I246"/>
    <mergeCell ref="J245:J246"/>
    <mergeCell ref="T242:T243"/>
    <mergeCell ref="T245:T246"/>
    <mergeCell ref="U245:U246"/>
    <mergeCell ref="V245:V246"/>
    <mergeCell ref="W245:W246"/>
    <mergeCell ref="X245:X246"/>
    <mergeCell ref="Y245:Y246"/>
    <mergeCell ref="R242:R243"/>
    <mergeCell ref="S242:S243"/>
    <mergeCell ref="U242:U243"/>
    <mergeCell ref="V242:V243"/>
    <mergeCell ref="W242:W243"/>
    <mergeCell ref="X242:X243"/>
    <mergeCell ref="Y242:Y243"/>
    <mergeCell ref="U239:U240"/>
    <mergeCell ref="V239:V240"/>
    <mergeCell ref="W239:W240"/>
    <mergeCell ref="X239:X240"/>
    <mergeCell ref="Y239:Y240"/>
    <mergeCell ref="K239:K240"/>
    <mergeCell ref="L239:L240"/>
    <mergeCell ref="M239:M240"/>
    <mergeCell ref="N239:N240"/>
    <mergeCell ref="O239:O240"/>
    <mergeCell ref="P239:P240"/>
    <mergeCell ref="Q239:Q240"/>
    <mergeCell ref="K242:K243"/>
    <mergeCell ref="L242:L243"/>
    <mergeCell ref="M242:M243"/>
    <mergeCell ref="N242:N243"/>
    <mergeCell ref="O242:O243"/>
    <mergeCell ref="P242:P243"/>
    <mergeCell ref="Q242:Q243"/>
    <mergeCell ref="B232:E232"/>
    <mergeCell ref="B233:E234"/>
    <mergeCell ref="F233:F234"/>
    <mergeCell ref="G233:G234"/>
    <mergeCell ref="H233:H234"/>
    <mergeCell ref="I233:I234"/>
    <mergeCell ref="J233:J234"/>
    <mergeCell ref="B235:E235"/>
    <mergeCell ref="B236:E237"/>
    <mergeCell ref="F236:F237"/>
    <mergeCell ref="G236:G237"/>
    <mergeCell ref="H236:H237"/>
    <mergeCell ref="I236:I237"/>
    <mergeCell ref="J236:J237"/>
    <mergeCell ref="R239:R240"/>
    <mergeCell ref="S239:S240"/>
    <mergeCell ref="T239:T240"/>
    <mergeCell ref="B238:E238"/>
    <mergeCell ref="B239:E240"/>
    <mergeCell ref="F239:F240"/>
    <mergeCell ref="G239:G240"/>
    <mergeCell ref="H239:H240"/>
    <mergeCell ref="I239:I240"/>
    <mergeCell ref="J239:J240"/>
    <mergeCell ref="R233:R234"/>
    <mergeCell ref="S233:S234"/>
    <mergeCell ref="T233:T234"/>
    <mergeCell ref="U233:U234"/>
    <mergeCell ref="V233:V234"/>
    <mergeCell ref="W233:W234"/>
    <mergeCell ref="X233:X234"/>
    <mergeCell ref="Y233:Y234"/>
    <mergeCell ref="K233:K234"/>
    <mergeCell ref="L233:L234"/>
    <mergeCell ref="M233:M234"/>
    <mergeCell ref="N233:N234"/>
    <mergeCell ref="O233:O234"/>
    <mergeCell ref="P233:P234"/>
    <mergeCell ref="Q233:Q234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K236:K237"/>
    <mergeCell ref="L236:L237"/>
    <mergeCell ref="M236:M237"/>
    <mergeCell ref="N236:N237"/>
    <mergeCell ref="O236:O237"/>
    <mergeCell ref="P236:P237"/>
    <mergeCell ref="Q236:Q237"/>
    <mergeCell ref="B226:E226"/>
    <mergeCell ref="B227:E228"/>
    <mergeCell ref="F227:F228"/>
    <mergeCell ref="G227:G228"/>
    <mergeCell ref="H227:H228"/>
    <mergeCell ref="I227:I228"/>
    <mergeCell ref="J227:J228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K230:K231"/>
    <mergeCell ref="L230:L231"/>
    <mergeCell ref="M230:M231"/>
    <mergeCell ref="N230:N231"/>
    <mergeCell ref="O230:O231"/>
    <mergeCell ref="P230:P231"/>
    <mergeCell ref="Q230:Q231"/>
    <mergeCell ref="B229:E229"/>
    <mergeCell ref="B230:E231"/>
    <mergeCell ref="F230:F231"/>
    <mergeCell ref="G230:G231"/>
    <mergeCell ref="H230:H231"/>
    <mergeCell ref="I230:I231"/>
    <mergeCell ref="J230:J231"/>
    <mergeCell ref="B202:E202"/>
    <mergeCell ref="B203:E204"/>
    <mergeCell ref="F203:F204"/>
    <mergeCell ref="G203:G204"/>
    <mergeCell ref="H203:H204"/>
    <mergeCell ref="I203:I204"/>
    <mergeCell ref="J203:J204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K215:K216"/>
    <mergeCell ref="L215:L216"/>
    <mergeCell ref="M215:M216"/>
    <mergeCell ref="N215:N216"/>
    <mergeCell ref="O215:O216"/>
    <mergeCell ref="P215:P216"/>
    <mergeCell ref="Q215:Q216"/>
    <mergeCell ref="B208:E208"/>
    <mergeCell ref="B209:E210"/>
    <mergeCell ref="F209:F210"/>
    <mergeCell ref="G209:G210"/>
    <mergeCell ref="H209:H210"/>
    <mergeCell ref="I209:I210"/>
    <mergeCell ref="J209:J210"/>
    <mergeCell ref="B211:E211"/>
    <mergeCell ref="B212:E213"/>
    <mergeCell ref="F212:F213"/>
    <mergeCell ref="O182:O183"/>
    <mergeCell ref="P182:P183"/>
    <mergeCell ref="Q182:Q183"/>
    <mergeCell ref="K185:K186"/>
    <mergeCell ref="L185:L186"/>
    <mergeCell ref="M185:M186"/>
    <mergeCell ref="N185:N186"/>
    <mergeCell ref="O185:O186"/>
    <mergeCell ref="P185:P186"/>
    <mergeCell ref="Q185:Q186"/>
    <mergeCell ref="T185:T186"/>
    <mergeCell ref="T188:T189"/>
    <mergeCell ref="U188:U189"/>
    <mergeCell ref="V188:V189"/>
    <mergeCell ref="W188:W189"/>
    <mergeCell ref="X188:X189"/>
    <mergeCell ref="Y188:Y189"/>
    <mergeCell ref="R185:R186"/>
    <mergeCell ref="S185:S186"/>
    <mergeCell ref="U185:U186"/>
    <mergeCell ref="V185:V186"/>
    <mergeCell ref="W185:W186"/>
    <mergeCell ref="X185:X186"/>
    <mergeCell ref="Y185:Y186"/>
    <mergeCell ref="B184:E184"/>
    <mergeCell ref="B185:E186"/>
    <mergeCell ref="F185:F186"/>
    <mergeCell ref="G185:G186"/>
    <mergeCell ref="H185:H186"/>
    <mergeCell ref="I185:I186"/>
    <mergeCell ref="J185:J186"/>
    <mergeCell ref="R188:R189"/>
    <mergeCell ref="S188:S189"/>
    <mergeCell ref="K188:K189"/>
    <mergeCell ref="L188:L189"/>
    <mergeCell ref="M188:M189"/>
    <mergeCell ref="N188:N189"/>
    <mergeCell ref="O188:O189"/>
    <mergeCell ref="P188:P189"/>
    <mergeCell ref="Q188:Q189"/>
    <mergeCell ref="B175:E175"/>
    <mergeCell ref="B176:E177"/>
    <mergeCell ref="F176:F177"/>
    <mergeCell ref="G176:G177"/>
    <mergeCell ref="H176:H177"/>
    <mergeCell ref="I176:I177"/>
    <mergeCell ref="J176:J177"/>
    <mergeCell ref="B178:E178"/>
    <mergeCell ref="B179:E180"/>
    <mergeCell ref="F179:F180"/>
    <mergeCell ref="G179:G180"/>
    <mergeCell ref="H179:H180"/>
    <mergeCell ref="I179:I180"/>
    <mergeCell ref="J179:J180"/>
    <mergeCell ref="R182:R183"/>
    <mergeCell ref="S182:S183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K179:K180"/>
    <mergeCell ref="L179:L180"/>
    <mergeCell ref="M179:M180"/>
    <mergeCell ref="N179:N180"/>
    <mergeCell ref="O179:O180"/>
    <mergeCell ref="P179:P180"/>
    <mergeCell ref="Q179:Q180"/>
    <mergeCell ref="B181:E181"/>
    <mergeCell ref="B182:E183"/>
    <mergeCell ref="F182:F183"/>
    <mergeCell ref="G182:G183"/>
    <mergeCell ref="H182:H183"/>
    <mergeCell ref="I182:I183"/>
    <mergeCell ref="J182:J183"/>
    <mergeCell ref="T182:T183"/>
    <mergeCell ref="U182:U183"/>
    <mergeCell ref="V182:V183"/>
    <mergeCell ref="W182:W183"/>
    <mergeCell ref="X182:X183"/>
    <mergeCell ref="Y182:Y183"/>
    <mergeCell ref="K182:K183"/>
    <mergeCell ref="L182:L183"/>
    <mergeCell ref="M182:M183"/>
    <mergeCell ref="N182:N183"/>
    <mergeCell ref="R170:R171"/>
    <mergeCell ref="S170:S171"/>
    <mergeCell ref="T170:T171"/>
    <mergeCell ref="U170:U171"/>
    <mergeCell ref="V170:V171"/>
    <mergeCell ref="W170:W171"/>
    <mergeCell ref="X170:X171"/>
    <mergeCell ref="Y170:Y171"/>
    <mergeCell ref="K170:K171"/>
    <mergeCell ref="L170:L171"/>
    <mergeCell ref="M170:M171"/>
    <mergeCell ref="N170:N171"/>
    <mergeCell ref="O170:O171"/>
    <mergeCell ref="P170:P171"/>
    <mergeCell ref="Q170:Q171"/>
    <mergeCell ref="R173:R174"/>
    <mergeCell ref="S173:S174"/>
    <mergeCell ref="T173:T174"/>
    <mergeCell ref="U173:U174"/>
    <mergeCell ref="V173:V174"/>
    <mergeCell ref="W173:W174"/>
    <mergeCell ref="X173:X174"/>
    <mergeCell ref="Y173:Y174"/>
    <mergeCell ref="K173:K174"/>
    <mergeCell ref="L173:L174"/>
    <mergeCell ref="M173:M174"/>
    <mergeCell ref="N173:N174"/>
    <mergeCell ref="O173:O174"/>
    <mergeCell ref="P173:P174"/>
    <mergeCell ref="Q173:Q174"/>
    <mergeCell ref="B205:E205"/>
    <mergeCell ref="B206:E207"/>
    <mergeCell ref="F206:F207"/>
    <mergeCell ref="G206:G207"/>
    <mergeCell ref="H206:H207"/>
    <mergeCell ref="I206:I207"/>
    <mergeCell ref="J206:J207"/>
    <mergeCell ref="T203:T204"/>
    <mergeCell ref="T206:T207"/>
    <mergeCell ref="U206:U207"/>
    <mergeCell ref="V206:V207"/>
    <mergeCell ref="W206:W207"/>
    <mergeCell ref="X206:X207"/>
    <mergeCell ref="Y206:Y207"/>
    <mergeCell ref="R203:R204"/>
    <mergeCell ref="S203:S204"/>
    <mergeCell ref="U203:U204"/>
    <mergeCell ref="V203:V204"/>
    <mergeCell ref="W203:W204"/>
    <mergeCell ref="X203:X204"/>
    <mergeCell ref="Y203:Y204"/>
    <mergeCell ref="U200:U201"/>
    <mergeCell ref="V200:V201"/>
    <mergeCell ref="W200:W201"/>
    <mergeCell ref="X200:X201"/>
    <mergeCell ref="Y200:Y201"/>
    <mergeCell ref="K200:K201"/>
    <mergeCell ref="L200:L201"/>
    <mergeCell ref="M200:M201"/>
    <mergeCell ref="N200:N201"/>
    <mergeCell ref="O200:O201"/>
    <mergeCell ref="P200:P201"/>
    <mergeCell ref="Q200:Q201"/>
    <mergeCell ref="K203:K204"/>
    <mergeCell ref="L203:L204"/>
    <mergeCell ref="M203:M204"/>
    <mergeCell ref="N203:N204"/>
    <mergeCell ref="O203:O204"/>
    <mergeCell ref="P203:P204"/>
    <mergeCell ref="Q203:Q204"/>
    <mergeCell ref="B193:E193"/>
    <mergeCell ref="B194:E195"/>
    <mergeCell ref="F194:F195"/>
    <mergeCell ref="G194:G195"/>
    <mergeCell ref="H194:H195"/>
    <mergeCell ref="I194:I195"/>
    <mergeCell ref="J194:J195"/>
    <mergeCell ref="B196:E196"/>
    <mergeCell ref="B197:E198"/>
    <mergeCell ref="F197:F198"/>
    <mergeCell ref="G197:G198"/>
    <mergeCell ref="H197:H198"/>
    <mergeCell ref="I197:I198"/>
    <mergeCell ref="J197:J198"/>
    <mergeCell ref="R200:R201"/>
    <mergeCell ref="S200:S201"/>
    <mergeCell ref="T200:T201"/>
    <mergeCell ref="B199:E199"/>
    <mergeCell ref="B200:E201"/>
    <mergeCell ref="F200:F201"/>
    <mergeCell ref="G200:G201"/>
    <mergeCell ref="H200:H201"/>
    <mergeCell ref="I200:I201"/>
    <mergeCell ref="J200:J201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K194:K195"/>
    <mergeCell ref="L194:L195"/>
    <mergeCell ref="M194:M195"/>
    <mergeCell ref="N194:N195"/>
    <mergeCell ref="O194:O195"/>
    <mergeCell ref="P194:P195"/>
    <mergeCell ref="Q194:Q195"/>
    <mergeCell ref="R197:R198"/>
    <mergeCell ref="S197:S198"/>
    <mergeCell ref="T197:T198"/>
    <mergeCell ref="U197:U198"/>
    <mergeCell ref="V197:V198"/>
    <mergeCell ref="W197:W198"/>
    <mergeCell ref="X197:X198"/>
    <mergeCell ref="Y197:Y198"/>
    <mergeCell ref="K197:K198"/>
    <mergeCell ref="L197:L198"/>
    <mergeCell ref="M197:M198"/>
    <mergeCell ref="N197:N198"/>
    <mergeCell ref="O197:O198"/>
    <mergeCell ref="P197:P198"/>
    <mergeCell ref="Q197:Q198"/>
    <mergeCell ref="B188:E189"/>
    <mergeCell ref="F188:F189"/>
    <mergeCell ref="G188:G189"/>
    <mergeCell ref="H188:H189"/>
    <mergeCell ref="I188:I189"/>
    <mergeCell ref="J188:J189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K191:K192"/>
    <mergeCell ref="L191:L192"/>
    <mergeCell ref="M191:M192"/>
    <mergeCell ref="N191:N192"/>
    <mergeCell ref="O191:O192"/>
    <mergeCell ref="P191:P192"/>
    <mergeCell ref="Q191:Q192"/>
    <mergeCell ref="B190:E190"/>
    <mergeCell ref="B191:E192"/>
    <mergeCell ref="F191:F192"/>
    <mergeCell ref="G191:G192"/>
    <mergeCell ref="H191:H192"/>
    <mergeCell ref="I191:I192"/>
    <mergeCell ref="J191:J192"/>
    <mergeCell ref="U98:U99"/>
    <mergeCell ref="V98:V99"/>
    <mergeCell ref="W98:W99"/>
    <mergeCell ref="X98:X99"/>
    <mergeCell ref="Y98:Y99"/>
    <mergeCell ref="V104:V105"/>
    <mergeCell ref="W104:W105"/>
    <mergeCell ref="X104:X105"/>
    <mergeCell ref="Y104:Y105"/>
    <mergeCell ref="T98:T99"/>
    <mergeCell ref="T101:T102"/>
    <mergeCell ref="U101:U102"/>
    <mergeCell ref="V101:V102"/>
    <mergeCell ref="W101:W102"/>
    <mergeCell ref="X101:X102"/>
    <mergeCell ref="Y101:Y102"/>
    <mergeCell ref="B187:E187"/>
    <mergeCell ref="B169:E169"/>
    <mergeCell ref="B170:E171"/>
    <mergeCell ref="F170:F171"/>
    <mergeCell ref="G170:G171"/>
    <mergeCell ref="H170:H171"/>
    <mergeCell ref="I170:I171"/>
    <mergeCell ref="J170:J171"/>
    <mergeCell ref="B172:E172"/>
    <mergeCell ref="B173:E174"/>
    <mergeCell ref="F173:F174"/>
    <mergeCell ref="G173:G174"/>
    <mergeCell ref="H173:H174"/>
    <mergeCell ref="I173:I174"/>
    <mergeCell ref="J173:J174"/>
    <mergeCell ref="R167:R168"/>
    <mergeCell ref="U95:U96"/>
    <mergeCell ref="V95:V96"/>
    <mergeCell ref="W95:W96"/>
    <mergeCell ref="X95:X96"/>
    <mergeCell ref="Y95:Y96"/>
    <mergeCell ref="K95:K96"/>
    <mergeCell ref="L95:L96"/>
    <mergeCell ref="M95:M96"/>
    <mergeCell ref="N95:N96"/>
    <mergeCell ref="O95:O96"/>
    <mergeCell ref="P95:P96"/>
    <mergeCell ref="Q95:Q96"/>
    <mergeCell ref="B94:E94"/>
    <mergeCell ref="B95:E96"/>
    <mergeCell ref="F95:F96"/>
    <mergeCell ref="G95:G96"/>
    <mergeCell ref="H95:H96"/>
    <mergeCell ref="I95:I96"/>
    <mergeCell ref="J95:J96"/>
    <mergeCell ref="B97:E97"/>
    <mergeCell ref="B98:E99"/>
    <mergeCell ref="F98:F99"/>
    <mergeCell ref="G98:G99"/>
    <mergeCell ref="H98:H99"/>
    <mergeCell ref="I98:I99"/>
    <mergeCell ref="J98:J99"/>
    <mergeCell ref="B100:E100"/>
    <mergeCell ref="B101:E102"/>
    <mergeCell ref="F101:F102"/>
    <mergeCell ref="G101:G102"/>
    <mergeCell ref="H101:H102"/>
    <mergeCell ref="I101:I102"/>
    <mergeCell ref="J101:J102"/>
    <mergeCell ref="R95:R96"/>
    <mergeCell ref="S95:S96"/>
    <mergeCell ref="T95:T96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B28:E28"/>
    <mergeCell ref="B29:E30"/>
    <mergeCell ref="F29:F30"/>
    <mergeCell ref="G29:G30"/>
    <mergeCell ref="H29:H30"/>
    <mergeCell ref="I29:I30"/>
    <mergeCell ref="J29:J30"/>
    <mergeCell ref="R32:R33"/>
    <mergeCell ref="S32:S33"/>
    <mergeCell ref="K32:K33"/>
    <mergeCell ref="L32:L33"/>
    <mergeCell ref="M32:M33"/>
    <mergeCell ref="N32:N33"/>
    <mergeCell ref="O32:O33"/>
    <mergeCell ref="P32:P33"/>
    <mergeCell ref="Q32:Q33"/>
    <mergeCell ref="R83:R84"/>
    <mergeCell ref="S83:S84"/>
    <mergeCell ref="K83:K84"/>
    <mergeCell ref="L83:L84"/>
    <mergeCell ref="M83:M84"/>
    <mergeCell ref="N83:N84"/>
    <mergeCell ref="O83:O84"/>
    <mergeCell ref="P83:P84"/>
    <mergeCell ref="Q83:Q84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R23:R24"/>
    <mergeCell ref="S23:S24"/>
    <mergeCell ref="T23:T24"/>
    <mergeCell ref="U23:U24"/>
    <mergeCell ref="V23:V24"/>
    <mergeCell ref="W23:W24"/>
    <mergeCell ref="X23:X24"/>
    <mergeCell ref="Y23:Y24"/>
    <mergeCell ref="K23:K24"/>
    <mergeCell ref="L23:L24"/>
    <mergeCell ref="M23:M24"/>
    <mergeCell ref="N23:N24"/>
    <mergeCell ref="O23:O24"/>
    <mergeCell ref="P23:P24"/>
    <mergeCell ref="Q23:Q24"/>
    <mergeCell ref="R17:R18"/>
    <mergeCell ref="S17:S18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16:E16"/>
    <mergeCell ref="B17:E18"/>
    <mergeCell ref="F17:F18"/>
    <mergeCell ref="G17:G18"/>
    <mergeCell ref="H17:H18"/>
    <mergeCell ref="I17:I18"/>
    <mergeCell ref="J17:J18"/>
    <mergeCell ref="T11:T12"/>
    <mergeCell ref="T14:T15"/>
    <mergeCell ref="U14:U15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B13:E13"/>
    <mergeCell ref="B14:E15"/>
    <mergeCell ref="F14:F15"/>
    <mergeCell ref="G14:G15"/>
    <mergeCell ref="H14:H15"/>
    <mergeCell ref="I14:I15"/>
    <mergeCell ref="J14:J15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K11:K12"/>
    <mergeCell ref="L11:L12"/>
    <mergeCell ref="M11:M12"/>
    <mergeCell ref="N11:N12"/>
    <mergeCell ref="O11:O12"/>
    <mergeCell ref="P11:P12"/>
    <mergeCell ref="Q11:Q12"/>
    <mergeCell ref="Q70:Q71"/>
    <mergeCell ref="B69:E69"/>
    <mergeCell ref="B70:E71"/>
    <mergeCell ref="F70:F71"/>
    <mergeCell ref="G70:G71"/>
    <mergeCell ref="H70:H71"/>
    <mergeCell ref="I70:I71"/>
    <mergeCell ref="J70:J71"/>
    <mergeCell ref="J74:J75"/>
    <mergeCell ref="K74:K75"/>
    <mergeCell ref="L74:L75"/>
    <mergeCell ref="M74:M75"/>
    <mergeCell ref="N74:N75"/>
    <mergeCell ref="O74:O75"/>
    <mergeCell ref="P74:P75"/>
    <mergeCell ref="B72:E72"/>
    <mergeCell ref="B73:E73"/>
    <mergeCell ref="B74:E75"/>
    <mergeCell ref="F74:F75"/>
    <mergeCell ref="G74:G75"/>
    <mergeCell ref="H74:H75"/>
    <mergeCell ref="I74:I75"/>
    <mergeCell ref="X74:X75"/>
    <mergeCell ref="Y74:Y75"/>
    <mergeCell ref="Q74:Q75"/>
    <mergeCell ref="R74:R75"/>
    <mergeCell ref="S74:S75"/>
    <mergeCell ref="T74:T75"/>
    <mergeCell ref="U74:U75"/>
    <mergeCell ref="V74:V75"/>
    <mergeCell ref="W74:W75"/>
    <mergeCell ref="R67:R68"/>
    <mergeCell ref="S67:S68"/>
    <mergeCell ref="K67:K68"/>
    <mergeCell ref="L67:L68"/>
    <mergeCell ref="M67:M68"/>
    <mergeCell ref="N67:N68"/>
    <mergeCell ref="O67:O68"/>
    <mergeCell ref="P67:P68"/>
    <mergeCell ref="Q67:Q68"/>
    <mergeCell ref="R70:R71"/>
    <mergeCell ref="S70:S71"/>
    <mergeCell ref="T70:T71"/>
    <mergeCell ref="U70:U71"/>
    <mergeCell ref="V70:V71"/>
    <mergeCell ref="W70:W71"/>
    <mergeCell ref="X70:X71"/>
    <mergeCell ref="Y70:Y71"/>
    <mergeCell ref="K70:K71"/>
    <mergeCell ref="L70:L71"/>
    <mergeCell ref="M70:M71"/>
    <mergeCell ref="N70:N71"/>
    <mergeCell ref="O70:O71"/>
    <mergeCell ref="P70:P71"/>
    <mergeCell ref="B66:E66"/>
    <mergeCell ref="B67:E68"/>
    <mergeCell ref="F67:F68"/>
    <mergeCell ref="G67:G68"/>
    <mergeCell ref="H67:H68"/>
    <mergeCell ref="I67:I68"/>
    <mergeCell ref="J67:J68"/>
    <mergeCell ref="T64:T65"/>
    <mergeCell ref="T67:T68"/>
    <mergeCell ref="U67:U68"/>
    <mergeCell ref="V67:V68"/>
    <mergeCell ref="W67:W68"/>
    <mergeCell ref="X67:X68"/>
    <mergeCell ref="Y67:Y68"/>
    <mergeCell ref="R64:R65"/>
    <mergeCell ref="S64:S65"/>
    <mergeCell ref="U64:U65"/>
    <mergeCell ref="V64:V65"/>
    <mergeCell ref="W64:W65"/>
    <mergeCell ref="X64:X65"/>
    <mergeCell ref="Y64:Y65"/>
    <mergeCell ref="T61:T62"/>
    <mergeCell ref="U61:U62"/>
    <mergeCell ref="V61:V62"/>
    <mergeCell ref="W61:W62"/>
    <mergeCell ref="X61:X62"/>
    <mergeCell ref="Y61:Y62"/>
    <mergeCell ref="K61:K62"/>
    <mergeCell ref="L61:L62"/>
    <mergeCell ref="M61:M62"/>
    <mergeCell ref="N61:N62"/>
    <mergeCell ref="O61:O62"/>
    <mergeCell ref="P61:P62"/>
    <mergeCell ref="Q61:Q62"/>
    <mergeCell ref="K64:K65"/>
    <mergeCell ref="L64:L65"/>
    <mergeCell ref="M64:M65"/>
    <mergeCell ref="N64:N65"/>
    <mergeCell ref="O64:O65"/>
    <mergeCell ref="P64:P65"/>
    <mergeCell ref="Q64:Q65"/>
    <mergeCell ref="B61:E62"/>
    <mergeCell ref="F61:F62"/>
    <mergeCell ref="G61:G62"/>
    <mergeCell ref="H61:H62"/>
    <mergeCell ref="I61:I62"/>
    <mergeCell ref="J61:J62"/>
    <mergeCell ref="B63:E63"/>
    <mergeCell ref="B64:E65"/>
    <mergeCell ref="F64:F65"/>
    <mergeCell ref="G64:G65"/>
    <mergeCell ref="H64:H65"/>
    <mergeCell ref="I64:I65"/>
    <mergeCell ref="J64:J65"/>
    <mergeCell ref="R58:R59"/>
    <mergeCell ref="S58:S59"/>
    <mergeCell ref="K58:K59"/>
    <mergeCell ref="L58:L59"/>
    <mergeCell ref="M58:M59"/>
    <mergeCell ref="N58:N59"/>
    <mergeCell ref="O58:O59"/>
    <mergeCell ref="P58:P59"/>
    <mergeCell ref="Q58:Q59"/>
    <mergeCell ref="R61:R62"/>
    <mergeCell ref="S61:S62"/>
    <mergeCell ref="X55:X56"/>
    <mergeCell ref="Y55:Y56"/>
    <mergeCell ref="K55:K56"/>
    <mergeCell ref="L55:L56"/>
    <mergeCell ref="M55:M56"/>
    <mergeCell ref="N55:N56"/>
    <mergeCell ref="O55:O56"/>
    <mergeCell ref="P55:P56"/>
    <mergeCell ref="Q55:Q56"/>
    <mergeCell ref="B57:E57"/>
    <mergeCell ref="B58:E59"/>
    <mergeCell ref="F58:F59"/>
    <mergeCell ref="G58:G59"/>
    <mergeCell ref="H58:H59"/>
    <mergeCell ref="I58:I59"/>
    <mergeCell ref="J58:J59"/>
    <mergeCell ref="B60:E60"/>
    <mergeCell ref="U58:U59"/>
    <mergeCell ref="V58:V59"/>
    <mergeCell ref="W58:W59"/>
    <mergeCell ref="X58:X59"/>
    <mergeCell ref="Y58:Y59"/>
    <mergeCell ref="L50:L51"/>
    <mergeCell ref="M50:M51"/>
    <mergeCell ref="N50:N51"/>
    <mergeCell ref="O50:O51"/>
    <mergeCell ref="P50:P51"/>
    <mergeCell ref="Q50:Q51"/>
    <mergeCell ref="R50:R51"/>
    <mergeCell ref="S52:S53"/>
    <mergeCell ref="T52:T53"/>
    <mergeCell ref="U52:U53"/>
    <mergeCell ref="V52:V53"/>
    <mergeCell ref="W52:W53"/>
    <mergeCell ref="X52:X53"/>
    <mergeCell ref="Y52:Y53"/>
    <mergeCell ref="L52:L53"/>
    <mergeCell ref="M52:M53"/>
    <mergeCell ref="N52:N53"/>
    <mergeCell ref="O52:O53"/>
    <mergeCell ref="P52:P53"/>
    <mergeCell ref="Q52:Q53"/>
    <mergeCell ref="R52:R53"/>
    <mergeCell ref="R55:R56"/>
    <mergeCell ref="S55:S56"/>
    <mergeCell ref="T55:T56"/>
    <mergeCell ref="U55:U56"/>
    <mergeCell ref="V55:V56"/>
    <mergeCell ref="W55:W56"/>
    <mergeCell ref="B52:E53"/>
    <mergeCell ref="F52:F53"/>
    <mergeCell ref="G52:G53"/>
    <mergeCell ref="H52:H53"/>
    <mergeCell ref="I52:I53"/>
    <mergeCell ref="J52:J53"/>
    <mergeCell ref="K52:K53"/>
    <mergeCell ref="B54:E54"/>
    <mergeCell ref="B55:E56"/>
    <mergeCell ref="F55:F56"/>
    <mergeCell ref="G55:G56"/>
    <mergeCell ref="H55:H56"/>
    <mergeCell ref="I55:I56"/>
    <mergeCell ref="J55:J56"/>
    <mergeCell ref="S50:S51"/>
    <mergeCell ref="T50:T51"/>
    <mergeCell ref="T58:T59"/>
    <mergeCell ref="F50:F51"/>
    <mergeCell ref="G50:G51"/>
    <mergeCell ref="H50:H51"/>
    <mergeCell ref="I50:I51"/>
    <mergeCell ref="J50:J51"/>
    <mergeCell ref="K50:K51"/>
    <mergeCell ref="U47:U48"/>
    <mergeCell ref="U50:U51"/>
    <mergeCell ref="V50:V51"/>
    <mergeCell ref="W50:W51"/>
    <mergeCell ref="X50:X51"/>
    <mergeCell ref="Y50:Y51"/>
    <mergeCell ref="R47:R48"/>
    <mergeCell ref="S47:S48"/>
    <mergeCell ref="T47:T48"/>
    <mergeCell ref="V47:V48"/>
    <mergeCell ref="W47:W48"/>
    <mergeCell ref="X47:X48"/>
    <mergeCell ref="Y47:Y48"/>
    <mergeCell ref="T44:T45"/>
    <mergeCell ref="U44:U45"/>
    <mergeCell ref="V44:V45"/>
    <mergeCell ref="W44:W45"/>
    <mergeCell ref="X44:X45"/>
    <mergeCell ref="Y44:Y45"/>
    <mergeCell ref="M44:M45"/>
    <mergeCell ref="N44:N45"/>
    <mergeCell ref="O44:O45"/>
    <mergeCell ref="P44:P45"/>
    <mergeCell ref="Q44:Q45"/>
    <mergeCell ref="R44:R45"/>
    <mergeCell ref="S44:S45"/>
    <mergeCell ref="K47:K48"/>
    <mergeCell ref="L47:L48"/>
    <mergeCell ref="M47:M48"/>
    <mergeCell ref="N47:N48"/>
    <mergeCell ref="O47:O48"/>
    <mergeCell ref="P47:P48"/>
    <mergeCell ref="Q47:Q48"/>
    <mergeCell ref="B43:E43"/>
    <mergeCell ref="B44:E45"/>
    <mergeCell ref="F44:F45"/>
    <mergeCell ref="G44:G45"/>
    <mergeCell ref="I44:I45"/>
    <mergeCell ref="J44:J45"/>
    <mergeCell ref="K44:K45"/>
    <mergeCell ref="B46:E46"/>
    <mergeCell ref="B47:E48"/>
    <mergeCell ref="G47:G48"/>
    <mergeCell ref="H47:H48"/>
    <mergeCell ref="I47:I48"/>
    <mergeCell ref="J47:J48"/>
    <mergeCell ref="B49:E49"/>
    <mergeCell ref="B37:E37"/>
    <mergeCell ref="B38:E39"/>
    <mergeCell ref="F38:F39"/>
    <mergeCell ref="G38:G39"/>
    <mergeCell ref="H38:H39"/>
    <mergeCell ref="I38:I39"/>
    <mergeCell ref="J38:J39"/>
    <mergeCell ref="B40:E40"/>
    <mergeCell ref="B41:E42"/>
    <mergeCell ref="F41:F42"/>
    <mergeCell ref="G41:G42"/>
    <mergeCell ref="H41:H42"/>
    <mergeCell ref="I41:I42"/>
    <mergeCell ref="J41:J42"/>
    <mergeCell ref="F47:F48"/>
    <mergeCell ref="R38:R39"/>
    <mergeCell ref="S38:S39"/>
    <mergeCell ref="T38:T39"/>
    <mergeCell ref="U38:U39"/>
    <mergeCell ref="V38:V39"/>
    <mergeCell ref="W38:W39"/>
    <mergeCell ref="X38:X39"/>
    <mergeCell ref="Y38:Y39"/>
    <mergeCell ref="K38:K39"/>
    <mergeCell ref="L38:L39"/>
    <mergeCell ref="M38:M39"/>
    <mergeCell ref="N38:N39"/>
    <mergeCell ref="O38:O39"/>
    <mergeCell ref="P38:P39"/>
    <mergeCell ref="Q38:Q39"/>
    <mergeCell ref="S41:S42"/>
    <mergeCell ref="T41:T42"/>
    <mergeCell ref="U41:U42"/>
    <mergeCell ref="V41:V42"/>
    <mergeCell ref="W41:W42"/>
    <mergeCell ref="X41:X42"/>
    <mergeCell ref="Y41:Y42"/>
    <mergeCell ref="K41:K42"/>
    <mergeCell ref="L41:L42"/>
    <mergeCell ref="M41:M42"/>
    <mergeCell ref="N41:N42"/>
    <mergeCell ref="O41:O42"/>
    <mergeCell ref="Q41:Q42"/>
    <mergeCell ref="R41:R42"/>
    <mergeCell ref="R35:R36"/>
    <mergeCell ref="S35:S36"/>
    <mergeCell ref="T35:T36"/>
    <mergeCell ref="U35:U36"/>
    <mergeCell ref="V35:V36"/>
    <mergeCell ref="W35:W36"/>
    <mergeCell ref="X35:X36"/>
    <mergeCell ref="Y35:Y36"/>
    <mergeCell ref="K35:K36"/>
    <mergeCell ref="L35:L36"/>
    <mergeCell ref="M35:M36"/>
    <mergeCell ref="N35:N36"/>
    <mergeCell ref="O35:O36"/>
    <mergeCell ref="P35:P36"/>
    <mergeCell ref="Q35:Q36"/>
    <mergeCell ref="B34:E34"/>
    <mergeCell ref="B35:E36"/>
    <mergeCell ref="F35:F36"/>
    <mergeCell ref="G35:G36"/>
    <mergeCell ref="H35:H36"/>
    <mergeCell ref="I35:I36"/>
    <mergeCell ref="J35:J36"/>
    <mergeCell ref="T32:T33"/>
    <mergeCell ref="U32:U33"/>
    <mergeCell ref="V32:V33"/>
    <mergeCell ref="W32:W33"/>
    <mergeCell ref="X32:X33"/>
    <mergeCell ref="Y32:Y33"/>
    <mergeCell ref="R29:R30"/>
    <mergeCell ref="S29:S30"/>
    <mergeCell ref="U29:U30"/>
    <mergeCell ref="V29:V30"/>
    <mergeCell ref="W29:W30"/>
    <mergeCell ref="X29:X30"/>
    <mergeCell ref="Y29:Y30"/>
    <mergeCell ref="B31:E31"/>
    <mergeCell ref="B32:E33"/>
    <mergeCell ref="F32:F33"/>
    <mergeCell ref="G32:G33"/>
    <mergeCell ref="H32:H33"/>
    <mergeCell ref="I32:I33"/>
    <mergeCell ref="J32:J33"/>
    <mergeCell ref="U26:U27"/>
    <mergeCell ref="V26:V27"/>
    <mergeCell ref="W26:W27"/>
    <mergeCell ref="X26:X27"/>
    <mergeCell ref="Y26:Y27"/>
    <mergeCell ref="K26:K27"/>
    <mergeCell ref="L26:L27"/>
    <mergeCell ref="M26:M27"/>
    <mergeCell ref="N26:N27"/>
    <mergeCell ref="O26:O27"/>
    <mergeCell ref="P26:P27"/>
    <mergeCell ref="Q26:Q27"/>
    <mergeCell ref="K29:K30"/>
    <mergeCell ref="L29:L30"/>
    <mergeCell ref="M29:M30"/>
    <mergeCell ref="N29:N30"/>
    <mergeCell ref="O29:O30"/>
    <mergeCell ref="P29:P30"/>
    <mergeCell ref="Q29:Q30"/>
    <mergeCell ref="T29:T30"/>
    <mergeCell ref="B19:E19"/>
    <mergeCell ref="B20:E21"/>
    <mergeCell ref="F20:F21"/>
    <mergeCell ref="G20:G21"/>
    <mergeCell ref="H20:H21"/>
    <mergeCell ref="I20:I21"/>
    <mergeCell ref="J20:J21"/>
    <mergeCell ref="B22:E22"/>
    <mergeCell ref="B23:E24"/>
    <mergeCell ref="F23:F24"/>
    <mergeCell ref="G23:G24"/>
    <mergeCell ref="H23:H24"/>
    <mergeCell ref="I23:I24"/>
    <mergeCell ref="J23:J24"/>
    <mergeCell ref="R26:R27"/>
    <mergeCell ref="S26:S27"/>
    <mergeCell ref="T26:T27"/>
    <mergeCell ref="R20:R21"/>
    <mergeCell ref="S20:S21"/>
    <mergeCell ref="T20:T21"/>
    <mergeCell ref="B25:E25"/>
    <mergeCell ref="B26:E27"/>
    <mergeCell ref="F26:F27"/>
    <mergeCell ref="G26:G27"/>
    <mergeCell ref="H26:H27"/>
    <mergeCell ref="I26:I27"/>
    <mergeCell ref="J26:J27"/>
    <mergeCell ref="Y611:Y612"/>
    <mergeCell ref="T614:T615"/>
    <mergeCell ref="Y614:Y615"/>
    <mergeCell ref="R605:R606"/>
    <mergeCell ref="S605:S606"/>
    <mergeCell ref="K605:K606"/>
    <mergeCell ref="L605:L606"/>
    <mergeCell ref="M605:M606"/>
    <mergeCell ref="N605:N606"/>
    <mergeCell ref="O605:O606"/>
    <mergeCell ref="P605:P606"/>
    <mergeCell ref="Q605:Q606"/>
    <mergeCell ref="R608:R609"/>
    <mergeCell ref="S608:S609"/>
    <mergeCell ref="T608:T609"/>
    <mergeCell ref="U608:U609"/>
    <mergeCell ref="V608:V609"/>
    <mergeCell ref="W608:W609"/>
    <mergeCell ref="X608:X609"/>
    <mergeCell ref="Y608:Y609"/>
    <mergeCell ref="K608:K609"/>
    <mergeCell ref="L608:L609"/>
    <mergeCell ref="M608:M609"/>
    <mergeCell ref="N608:N609"/>
    <mergeCell ref="O608:O609"/>
    <mergeCell ref="P608:P609"/>
    <mergeCell ref="Q608:Q609"/>
    <mergeCell ref="M611:M612"/>
    <mergeCell ref="N611:N612"/>
    <mergeCell ref="O611:O612"/>
    <mergeCell ref="P611:P612"/>
    <mergeCell ref="Q611:Q612"/>
    <mergeCell ref="B607:E607"/>
    <mergeCell ref="B608:E609"/>
    <mergeCell ref="F608:F609"/>
    <mergeCell ref="G608:G609"/>
    <mergeCell ref="H608:H609"/>
    <mergeCell ref="I608:I609"/>
    <mergeCell ref="J608:J609"/>
    <mergeCell ref="B610:E610"/>
    <mergeCell ref="B611:E612"/>
    <mergeCell ref="F611:F612"/>
    <mergeCell ref="G611:G612"/>
    <mergeCell ref="I611:I612"/>
    <mergeCell ref="J611:J612"/>
    <mergeCell ref="K611:K612"/>
    <mergeCell ref="W614:W615"/>
    <mergeCell ref="X614:X615"/>
    <mergeCell ref="T611:T612"/>
    <mergeCell ref="U611:U612"/>
    <mergeCell ref="V611:V612"/>
    <mergeCell ref="W611:W612"/>
    <mergeCell ref="X611:X612"/>
    <mergeCell ref="R611:R612"/>
    <mergeCell ref="S611:S612"/>
    <mergeCell ref="B613:E613"/>
    <mergeCell ref="B614:E615"/>
    <mergeCell ref="F614:F615"/>
    <mergeCell ref="G614:G615"/>
    <mergeCell ref="H614:H615"/>
    <mergeCell ref="I614:I615"/>
    <mergeCell ref="J614:J615"/>
    <mergeCell ref="U614:U615"/>
    <mergeCell ref="V614:V615"/>
    <mergeCell ref="W563:W564"/>
    <mergeCell ref="X563:X564"/>
    <mergeCell ref="Y563:Y564"/>
    <mergeCell ref="K563:K564"/>
    <mergeCell ref="L563:L564"/>
    <mergeCell ref="M563:M564"/>
    <mergeCell ref="N563:N564"/>
    <mergeCell ref="O563:O564"/>
    <mergeCell ref="P563:P564"/>
    <mergeCell ref="Q563:Q564"/>
    <mergeCell ref="B565:E565"/>
    <mergeCell ref="B566:E567"/>
    <mergeCell ref="F566:F567"/>
    <mergeCell ref="G566:G567"/>
    <mergeCell ref="H566:H567"/>
    <mergeCell ref="I566:I567"/>
    <mergeCell ref="J566:J567"/>
    <mergeCell ref="U566:U567"/>
    <mergeCell ref="V566:V567"/>
    <mergeCell ref="W566:W567"/>
    <mergeCell ref="X566:X567"/>
    <mergeCell ref="Y566:Y567"/>
    <mergeCell ref="K557:K558"/>
    <mergeCell ref="L557:L558"/>
    <mergeCell ref="M557:M558"/>
    <mergeCell ref="N557:N558"/>
    <mergeCell ref="O557:O558"/>
    <mergeCell ref="Q557:Q558"/>
    <mergeCell ref="R557:R558"/>
    <mergeCell ref="R560:R561"/>
    <mergeCell ref="S560:S561"/>
    <mergeCell ref="T560:T561"/>
    <mergeCell ref="U560:U561"/>
    <mergeCell ref="V560:V561"/>
    <mergeCell ref="W560:W561"/>
    <mergeCell ref="X560:X561"/>
    <mergeCell ref="Y560:Y561"/>
    <mergeCell ref="K560:K561"/>
    <mergeCell ref="L560:L561"/>
    <mergeCell ref="M560:M561"/>
    <mergeCell ref="N560:N561"/>
    <mergeCell ref="O560:O561"/>
    <mergeCell ref="P560:P561"/>
    <mergeCell ref="Q560:Q561"/>
    <mergeCell ref="R563:R564"/>
    <mergeCell ref="S563:S564"/>
    <mergeCell ref="T563:T564"/>
    <mergeCell ref="U563:U564"/>
    <mergeCell ref="V563:V564"/>
    <mergeCell ref="B559:E559"/>
    <mergeCell ref="B560:E561"/>
    <mergeCell ref="F560:F561"/>
    <mergeCell ref="G560:G561"/>
    <mergeCell ref="H560:H561"/>
    <mergeCell ref="I560:I561"/>
    <mergeCell ref="J560:J561"/>
    <mergeCell ref="B562:E562"/>
    <mergeCell ref="B563:E564"/>
    <mergeCell ref="F563:F564"/>
    <mergeCell ref="G563:G564"/>
    <mergeCell ref="H563:H564"/>
    <mergeCell ref="I563:I564"/>
    <mergeCell ref="J563:J564"/>
    <mergeCell ref="S557:S558"/>
    <mergeCell ref="T557:T558"/>
    <mergeCell ref="T566:T567"/>
    <mergeCell ref="B556:E556"/>
    <mergeCell ref="B557:E558"/>
    <mergeCell ref="F557:F558"/>
    <mergeCell ref="G557:G558"/>
    <mergeCell ref="H557:H558"/>
    <mergeCell ref="I557:I558"/>
    <mergeCell ref="J557:J558"/>
    <mergeCell ref="U554:U555"/>
    <mergeCell ref="U557:U558"/>
    <mergeCell ref="V557:V558"/>
    <mergeCell ref="W557:W558"/>
    <mergeCell ref="X557:X558"/>
    <mergeCell ref="Y557:Y558"/>
    <mergeCell ref="R554:R555"/>
    <mergeCell ref="S554:S555"/>
    <mergeCell ref="T554:T555"/>
    <mergeCell ref="V554:V555"/>
    <mergeCell ref="W554:W555"/>
    <mergeCell ref="X554:X555"/>
    <mergeCell ref="Y554:Y555"/>
    <mergeCell ref="T551:T552"/>
    <mergeCell ref="U551:U552"/>
    <mergeCell ref="V551:V552"/>
    <mergeCell ref="W551:W552"/>
    <mergeCell ref="X551:X552"/>
    <mergeCell ref="Y551:Y552"/>
    <mergeCell ref="K551:K552"/>
    <mergeCell ref="L551:L552"/>
    <mergeCell ref="M551:M552"/>
    <mergeCell ref="N551:N552"/>
    <mergeCell ref="O551:O552"/>
    <mergeCell ref="Q551:Q552"/>
    <mergeCell ref="R551:R552"/>
    <mergeCell ref="K554:K555"/>
    <mergeCell ref="L554:L555"/>
    <mergeCell ref="M554:M555"/>
    <mergeCell ref="N554:N555"/>
    <mergeCell ref="O554:O555"/>
    <mergeCell ref="P554:P555"/>
    <mergeCell ref="Q554:Q555"/>
    <mergeCell ref="B550:E550"/>
    <mergeCell ref="B551:E552"/>
    <mergeCell ref="F551:F552"/>
    <mergeCell ref="G551:G552"/>
    <mergeCell ref="H551:H552"/>
    <mergeCell ref="I551:I552"/>
    <mergeCell ref="J551:J552"/>
    <mergeCell ref="B553:E553"/>
    <mergeCell ref="B554:E555"/>
    <mergeCell ref="F554:F555"/>
    <mergeCell ref="G554:G555"/>
    <mergeCell ref="H554:H555"/>
    <mergeCell ref="I554:I555"/>
    <mergeCell ref="J554:J555"/>
    <mergeCell ref="R548:R549"/>
    <mergeCell ref="S548:S549"/>
    <mergeCell ref="K548:K549"/>
    <mergeCell ref="L548:L549"/>
    <mergeCell ref="M548:M549"/>
    <mergeCell ref="N548:N549"/>
    <mergeCell ref="O548:O549"/>
    <mergeCell ref="P548:P549"/>
    <mergeCell ref="Q548:Q549"/>
    <mergeCell ref="S551:S552"/>
    <mergeCell ref="B547:E547"/>
    <mergeCell ref="B548:E549"/>
    <mergeCell ref="F548:F549"/>
    <mergeCell ref="G548:G549"/>
    <mergeCell ref="H548:H549"/>
    <mergeCell ref="I548:I549"/>
    <mergeCell ref="J548:J549"/>
    <mergeCell ref="T545:T546"/>
    <mergeCell ref="T548:T549"/>
    <mergeCell ref="U548:U549"/>
    <mergeCell ref="V548:V549"/>
    <mergeCell ref="W548:W549"/>
    <mergeCell ref="X548:X549"/>
    <mergeCell ref="Y548:Y549"/>
    <mergeCell ref="R545:R546"/>
    <mergeCell ref="S545:S546"/>
    <mergeCell ref="U545:U546"/>
    <mergeCell ref="V545:V546"/>
    <mergeCell ref="W545:W546"/>
    <mergeCell ref="X545:X546"/>
    <mergeCell ref="Y545:Y546"/>
    <mergeCell ref="T542:T543"/>
    <mergeCell ref="U542:U543"/>
    <mergeCell ref="V542:V543"/>
    <mergeCell ref="W542:W543"/>
    <mergeCell ref="X542:X543"/>
    <mergeCell ref="Y542:Y543"/>
    <mergeCell ref="K542:K543"/>
    <mergeCell ref="L542:L543"/>
    <mergeCell ref="M542:M543"/>
    <mergeCell ref="N542:N543"/>
    <mergeCell ref="O542:O543"/>
    <mergeCell ref="P542:P543"/>
    <mergeCell ref="Q542:Q543"/>
    <mergeCell ref="K545:K546"/>
    <mergeCell ref="L545:L546"/>
    <mergeCell ref="M545:M546"/>
    <mergeCell ref="N545:N546"/>
    <mergeCell ref="O545:O546"/>
    <mergeCell ref="P545:P546"/>
    <mergeCell ref="Q545:Q546"/>
    <mergeCell ref="B541:E541"/>
    <mergeCell ref="B542:E543"/>
    <mergeCell ref="F542:F543"/>
    <mergeCell ref="G542:G543"/>
    <mergeCell ref="H542:H543"/>
    <mergeCell ref="I542:I543"/>
    <mergeCell ref="J542:J543"/>
    <mergeCell ref="B544:E544"/>
    <mergeCell ref="B545:E546"/>
    <mergeCell ref="F545:F546"/>
    <mergeCell ref="G545:G546"/>
    <mergeCell ref="H545:H546"/>
    <mergeCell ref="I545:I546"/>
    <mergeCell ref="J545:J546"/>
    <mergeCell ref="R539:R540"/>
    <mergeCell ref="S539:S540"/>
    <mergeCell ref="K539:K540"/>
    <mergeCell ref="L539:L540"/>
    <mergeCell ref="M539:M540"/>
    <mergeCell ref="N539:N540"/>
    <mergeCell ref="O539:O540"/>
    <mergeCell ref="P539:P540"/>
    <mergeCell ref="Q539:Q540"/>
    <mergeCell ref="R542:R543"/>
    <mergeCell ref="S542:S543"/>
    <mergeCell ref="B538:E538"/>
    <mergeCell ref="B539:E540"/>
    <mergeCell ref="F539:F540"/>
    <mergeCell ref="G539:G540"/>
    <mergeCell ref="H539:H540"/>
    <mergeCell ref="I539:I540"/>
    <mergeCell ref="J539:J540"/>
    <mergeCell ref="T536:T537"/>
    <mergeCell ref="T539:T540"/>
    <mergeCell ref="U539:U540"/>
    <mergeCell ref="V539:V540"/>
    <mergeCell ref="W539:W540"/>
    <mergeCell ref="X539:X540"/>
    <mergeCell ref="Y539:Y540"/>
    <mergeCell ref="R536:R537"/>
    <mergeCell ref="S536:S537"/>
    <mergeCell ref="U536:U537"/>
    <mergeCell ref="V536:V537"/>
    <mergeCell ref="W536:W537"/>
    <mergeCell ref="X536:X537"/>
    <mergeCell ref="Y536:Y537"/>
    <mergeCell ref="T533:T534"/>
    <mergeCell ref="U533:U534"/>
    <mergeCell ref="V533:V534"/>
    <mergeCell ref="W533:W534"/>
    <mergeCell ref="X533:X534"/>
    <mergeCell ref="Y533:Y534"/>
    <mergeCell ref="K533:K534"/>
    <mergeCell ref="L533:L534"/>
    <mergeCell ref="M533:M534"/>
    <mergeCell ref="N533:N534"/>
    <mergeCell ref="O533:O534"/>
    <mergeCell ref="P533:P534"/>
    <mergeCell ref="Q533:Q534"/>
    <mergeCell ref="K536:K537"/>
    <mergeCell ref="L536:L537"/>
    <mergeCell ref="M536:M537"/>
    <mergeCell ref="N536:N537"/>
    <mergeCell ref="O536:O537"/>
    <mergeCell ref="P536:P537"/>
    <mergeCell ref="Q536:Q537"/>
    <mergeCell ref="B532:E532"/>
    <mergeCell ref="B533:E534"/>
    <mergeCell ref="F533:F534"/>
    <mergeCell ref="G533:G534"/>
    <mergeCell ref="H533:H534"/>
    <mergeCell ref="I533:I534"/>
    <mergeCell ref="J533:J534"/>
    <mergeCell ref="B535:E535"/>
    <mergeCell ref="B536:E537"/>
    <mergeCell ref="F536:F537"/>
    <mergeCell ref="G536:G537"/>
    <mergeCell ref="H536:H537"/>
    <mergeCell ref="I536:I537"/>
    <mergeCell ref="J536:J537"/>
    <mergeCell ref="R530:R531"/>
    <mergeCell ref="S530:S531"/>
    <mergeCell ref="K530:K531"/>
    <mergeCell ref="L530:L531"/>
    <mergeCell ref="M530:M531"/>
    <mergeCell ref="N530:N531"/>
    <mergeCell ref="O530:O531"/>
    <mergeCell ref="P530:P531"/>
    <mergeCell ref="Q530:Q531"/>
    <mergeCell ref="R533:R534"/>
    <mergeCell ref="S533:S534"/>
    <mergeCell ref="B529:E529"/>
    <mergeCell ref="B530:E531"/>
    <mergeCell ref="F530:F531"/>
    <mergeCell ref="G530:G531"/>
    <mergeCell ref="H530:H531"/>
    <mergeCell ref="I530:I531"/>
    <mergeCell ref="J530:J531"/>
    <mergeCell ref="T527:T528"/>
    <mergeCell ref="T530:T531"/>
    <mergeCell ref="U530:U531"/>
    <mergeCell ref="V530:V531"/>
    <mergeCell ref="W530:W531"/>
    <mergeCell ref="X530:X531"/>
    <mergeCell ref="Y530:Y531"/>
    <mergeCell ref="R527:R528"/>
    <mergeCell ref="S527:S528"/>
    <mergeCell ref="U527:U528"/>
    <mergeCell ref="V527:V528"/>
    <mergeCell ref="W527:W528"/>
    <mergeCell ref="X527:X528"/>
    <mergeCell ref="Y527:Y528"/>
    <mergeCell ref="T524:T525"/>
    <mergeCell ref="U524:U525"/>
    <mergeCell ref="V524:V525"/>
    <mergeCell ref="W524:W525"/>
    <mergeCell ref="X524:X525"/>
    <mergeCell ref="Y524:Y525"/>
    <mergeCell ref="K524:K525"/>
    <mergeCell ref="L524:L525"/>
    <mergeCell ref="M524:M525"/>
    <mergeCell ref="N524:N525"/>
    <mergeCell ref="O524:O525"/>
    <mergeCell ref="P524:P525"/>
    <mergeCell ref="Q524:Q525"/>
    <mergeCell ref="K527:K528"/>
    <mergeCell ref="L527:L528"/>
    <mergeCell ref="M527:M528"/>
    <mergeCell ref="N527:N528"/>
    <mergeCell ref="O527:O528"/>
    <mergeCell ref="P527:P528"/>
    <mergeCell ref="Q527:Q528"/>
    <mergeCell ref="B523:E523"/>
    <mergeCell ref="B524:E525"/>
    <mergeCell ref="F524:F525"/>
    <mergeCell ref="G524:G525"/>
    <mergeCell ref="H524:H525"/>
    <mergeCell ref="I524:I525"/>
    <mergeCell ref="J524:J525"/>
    <mergeCell ref="B526:E526"/>
    <mergeCell ref="B527:E528"/>
    <mergeCell ref="F527:F528"/>
    <mergeCell ref="G527:G528"/>
    <mergeCell ref="H527:H528"/>
    <mergeCell ref="I527:I528"/>
    <mergeCell ref="J527:J528"/>
    <mergeCell ref="R521:R522"/>
    <mergeCell ref="S521:S522"/>
    <mergeCell ref="K521:K522"/>
    <mergeCell ref="L521:L522"/>
    <mergeCell ref="M521:M522"/>
    <mergeCell ref="N521:N522"/>
    <mergeCell ref="O521:O522"/>
    <mergeCell ref="P521:P522"/>
    <mergeCell ref="Q521:Q522"/>
    <mergeCell ref="R524:R525"/>
    <mergeCell ref="S524:S525"/>
    <mergeCell ref="B520:E520"/>
    <mergeCell ref="B521:E522"/>
    <mergeCell ref="F521:F522"/>
    <mergeCell ref="G521:G522"/>
    <mergeCell ref="H521:H522"/>
    <mergeCell ref="I521:I522"/>
    <mergeCell ref="J521:J522"/>
    <mergeCell ref="T518:T519"/>
    <mergeCell ref="T521:T522"/>
    <mergeCell ref="U521:U522"/>
    <mergeCell ref="V521:V522"/>
    <mergeCell ref="W521:W522"/>
    <mergeCell ref="X521:X522"/>
    <mergeCell ref="Y521:Y522"/>
    <mergeCell ref="R518:R519"/>
    <mergeCell ref="S518:S519"/>
    <mergeCell ref="U518:U519"/>
    <mergeCell ref="V518:V519"/>
    <mergeCell ref="W518:W519"/>
    <mergeCell ref="X518:X519"/>
    <mergeCell ref="Y518:Y519"/>
    <mergeCell ref="V515:V516"/>
    <mergeCell ref="W515:W516"/>
    <mergeCell ref="X515:X516"/>
    <mergeCell ref="Y515:Y516"/>
    <mergeCell ref="K515:K516"/>
    <mergeCell ref="L515:L516"/>
    <mergeCell ref="M515:M516"/>
    <mergeCell ref="N515:N516"/>
    <mergeCell ref="O515:O516"/>
    <mergeCell ref="P515:P516"/>
    <mergeCell ref="Q515:Q516"/>
    <mergeCell ref="K518:K519"/>
    <mergeCell ref="L518:L519"/>
    <mergeCell ref="M518:M519"/>
    <mergeCell ref="N518:N519"/>
    <mergeCell ref="O518:O519"/>
    <mergeCell ref="P518:P519"/>
    <mergeCell ref="Q518:Q519"/>
    <mergeCell ref="G518:G519"/>
    <mergeCell ref="H518:H519"/>
    <mergeCell ref="I518:I519"/>
    <mergeCell ref="J518:J519"/>
    <mergeCell ref="R512:R513"/>
    <mergeCell ref="S512:S513"/>
    <mergeCell ref="K512:K513"/>
    <mergeCell ref="L512:L513"/>
    <mergeCell ref="M512:M513"/>
    <mergeCell ref="N512:N513"/>
    <mergeCell ref="O512:O513"/>
    <mergeCell ref="P512:P513"/>
    <mergeCell ref="Q512:Q513"/>
    <mergeCell ref="R515:R516"/>
    <mergeCell ref="S515:S516"/>
    <mergeCell ref="T515:T516"/>
    <mergeCell ref="U515:U516"/>
    <mergeCell ref="B499:E499"/>
    <mergeCell ref="B500:E501"/>
    <mergeCell ref="F500:F501"/>
    <mergeCell ref="G500:G501"/>
    <mergeCell ref="H500:H501"/>
    <mergeCell ref="I500:I501"/>
    <mergeCell ref="J500:J501"/>
    <mergeCell ref="R575:R576"/>
    <mergeCell ref="S575:S576"/>
    <mergeCell ref="T575:T576"/>
    <mergeCell ref="U575:U576"/>
    <mergeCell ref="V575:V576"/>
    <mergeCell ref="W575:W576"/>
    <mergeCell ref="X575:X576"/>
    <mergeCell ref="Y575:Y576"/>
    <mergeCell ref="K575:K576"/>
    <mergeCell ref="L575:L576"/>
    <mergeCell ref="M575:M576"/>
    <mergeCell ref="N575:N576"/>
    <mergeCell ref="O575:O576"/>
    <mergeCell ref="P575:P576"/>
    <mergeCell ref="Q575:Q576"/>
    <mergeCell ref="B514:E514"/>
    <mergeCell ref="B515:E516"/>
    <mergeCell ref="F515:F516"/>
    <mergeCell ref="G515:G516"/>
    <mergeCell ref="H515:H516"/>
    <mergeCell ref="I515:I516"/>
    <mergeCell ref="J515:J516"/>
    <mergeCell ref="B517:E517"/>
    <mergeCell ref="B518:E519"/>
    <mergeCell ref="F518:F519"/>
    <mergeCell ref="O479:O480"/>
    <mergeCell ref="P479:P480"/>
    <mergeCell ref="Q479:Q480"/>
    <mergeCell ref="K482:K483"/>
    <mergeCell ref="L482:L483"/>
    <mergeCell ref="M482:M483"/>
    <mergeCell ref="N482:N483"/>
    <mergeCell ref="O482:O483"/>
    <mergeCell ref="P482:P483"/>
    <mergeCell ref="Q482:Q483"/>
    <mergeCell ref="T482:T483"/>
    <mergeCell ref="T485:T486"/>
    <mergeCell ref="U485:U486"/>
    <mergeCell ref="V485:V486"/>
    <mergeCell ref="W485:W486"/>
    <mergeCell ref="X485:X486"/>
    <mergeCell ref="Y485:Y486"/>
    <mergeCell ref="R482:R483"/>
    <mergeCell ref="S482:S483"/>
    <mergeCell ref="U482:U483"/>
    <mergeCell ref="V482:V483"/>
    <mergeCell ref="W482:W483"/>
    <mergeCell ref="X482:X483"/>
    <mergeCell ref="Y482:Y483"/>
    <mergeCell ref="B481:E481"/>
    <mergeCell ref="B482:E483"/>
    <mergeCell ref="F482:F483"/>
    <mergeCell ref="G482:G483"/>
    <mergeCell ref="H482:H483"/>
    <mergeCell ref="I482:I483"/>
    <mergeCell ref="J482:J483"/>
    <mergeCell ref="R485:R486"/>
    <mergeCell ref="S485:S486"/>
    <mergeCell ref="K485:K486"/>
    <mergeCell ref="L485:L486"/>
    <mergeCell ref="M485:M486"/>
    <mergeCell ref="N485:N486"/>
    <mergeCell ref="O485:O486"/>
    <mergeCell ref="P485:P486"/>
    <mergeCell ref="Q485:Q486"/>
    <mergeCell ref="B472:E472"/>
    <mergeCell ref="B473:E474"/>
    <mergeCell ref="F473:F474"/>
    <mergeCell ref="G473:G474"/>
    <mergeCell ref="H473:H474"/>
    <mergeCell ref="I473:I474"/>
    <mergeCell ref="J473:J474"/>
    <mergeCell ref="B475:E475"/>
    <mergeCell ref="B476:E477"/>
    <mergeCell ref="F476:F477"/>
    <mergeCell ref="G476:G477"/>
    <mergeCell ref="H476:H477"/>
    <mergeCell ref="I476:I477"/>
    <mergeCell ref="J476:J477"/>
    <mergeCell ref="R479:R480"/>
    <mergeCell ref="S479:S480"/>
    <mergeCell ref="R476:R477"/>
    <mergeCell ref="S476:S477"/>
    <mergeCell ref="T476:T477"/>
    <mergeCell ref="U476:U477"/>
    <mergeCell ref="V476:V477"/>
    <mergeCell ref="W476:W477"/>
    <mergeCell ref="X476:X477"/>
    <mergeCell ref="Y476:Y477"/>
    <mergeCell ref="K476:K477"/>
    <mergeCell ref="L476:L477"/>
    <mergeCell ref="M476:M477"/>
    <mergeCell ref="N476:N477"/>
    <mergeCell ref="O476:O477"/>
    <mergeCell ref="P476:P477"/>
    <mergeCell ref="Q476:Q477"/>
    <mergeCell ref="B478:E478"/>
    <mergeCell ref="B479:E480"/>
    <mergeCell ref="F479:F480"/>
    <mergeCell ref="G479:G480"/>
    <mergeCell ref="H479:H480"/>
    <mergeCell ref="I479:I480"/>
    <mergeCell ref="J479:J480"/>
    <mergeCell ref="T479:T480"/>
    <mergeCell ref="U479:U480"/>
    <mergeCell ref="V479:V480"/>
    <mergeCell ref="W479:W480"/>
    <mergeCell ref="X479:X480"/>
    <mergeCell ref="Y479:Y480"/>
    <mergeCell ref="K479:K480"/>
    <mergeCell ref="L479:L480"/>
    <mergeCell ref="M479:M480"/>
    <mergeCell ref="N479:N480"/>
    <mergeCell ref="T467:T468"/>
    <mergeCell ref="U467:U468"/>
    <mergeCell ref="V467:V468"/>
    <mergeCell ref="W467:W468"/>
    <mergeCell ref="X467:X468"/>
    <mergeCell ref="Y467:Y468"/>
    <mergeCell ref="K467:K468"/>
    <mergeCell ref="L467:L468"/>
    <mergeCell ref="M467:M468"/>
    <mergeCell ref="N467:N468"/>
    <mergeCell ref="O467:O468"/>
    <mergeCell ref="P467:P468"/>
    <mergeCell ref="Q467:Q468"/>
    <mergeCell ref="R470:R471"/>
    <mergeCell ref="S470:S471"/>
    <mergeCell ref="T470:T471"/>
    <mergeCell ref="U470:U471"/>
    <mergeCell ref="V470:V471"/>
    <mergeCell ref="W470:W471"/>
    <mergeCell ref="X470:X471"/>
    <mergeCell ref="Y470:Y471"/>
    <mergeCell ref="K470:K471"/>
    <mergeCell ref="L470:L471"/>
    <mergeCell ref="M470:M471"/>
    <mergeCell ref="N470:N471"/>
    <mergeCell ref="O470:O471"/>
    <mergeCell ref="P470:P471"/>
    <mergeCell ref="Q470:Q471"/>
    <mergeCell ref="B466:E466"/>
    <mergeCell ref="B467:E468"/>
    <mergeCell ref="F467:F468"/>
    <mergeCell ref="G467:G468"/>
    <mergeCell ref="H467:H468"/>
    <mergeCell ref="I467:I468"/>
    <mergeCell ref="J467:J468"/>
    <mergeCell ref="B469:E469"/>
    <mergeCell ref="B470:E471"/>
    <mergeCell ref="F470:F471"/>
    <mergeCell ref="G470:G471"/>
    <mergeCell ref="H470:H471"/>
    <mergeCell ref="I470:I471"/>
    <mergeCell ref="J470:J471"/>
    <mergeCell ref="R464:R465"/>
    <mergeCell ref="S464:S465"/>
    <mergeCell ref="K464:K465"/>
    <mergeCell ref="L464:L465"/>
    <mergeCell ref="M464:M465"/>
    <mergeCell ref="N464:N465"/>
    <mergeCell ref="O464:O465"/>
    <mergeCell ref="P464:P465"/>
    <mergeCell ref="Q464:Q465"/>
    <mergeCell ref="R467:R468"/>
    <mergeCell ref="S467:S468"/>
    <mergeCell ref="B502:E502"/>
    <mergeCell ref="B503:E504"/>
    <mergeCell ref="F503:F504"/>
    <mergeCell ref="G503:G504"/>
    <mergeCell ref="H503:H504"/>
    <mergeCell ref="I503:I504"/>
    <mergeCell ref="J503:J504"/>
    <mergeCell ref="T500:T501"/>
    <mergeCell ref="T503:T504"/>
    <mergeCell ref="U503:U504"/>
    <mergeCell ref="V503:V504"/>
    <mergeCell ref="W503:W504"/>
    <mergeCell ref="X503:X504"/>
    <mergeCell ref="Y503:Y504"/>
    <mergeCell ref="R500:R501"/>
    <mergeCell ref="S500:S501"/>
    <mergeCell ref="U500:U501"/>
    <mergeCell ref="V500:V501"/>
    <mergeCell ref="W500:W501"/>
    <mergeCell ref="X500:X501"/>
    <mergeCell ref="Y500:Y501"/>
    <mergeCell ref="U497:U498"/>
    <mergeCell ref="V497:V498"/>
    <mergeCell ref="W497:W498"/>
    <mergeCell ref="X497:X498"/>
    <mergeCell ref="Y497:Y498"/>
    <mergeCell ref="K497:K498"/>
    <mergeCell ref="L497:L498"/>
    <mergeCell ref="M497:M498"/>
    <mergeCell ref="N497:N498"/>
    <mergeCell ref="O497:O498"/>
    <mergeCell ref="P497:P498"/>
    <mergeCell ref="Q497:Q498"/>
    <mergeCell ref="K500:K501"/>
    <mergeCell ref="L500:L501"/>
    <mergeCell ref="M500:M501"/>
    <mergeCell ref="N500:N501"/>
    <mergeCell ref="O500:O501"/>
    <mergeCell ref="P500:P501"/>
    <mergeCell ref="Q500:Q501"/>
    <mergeCell ref="B490:E490"/>
    <mergeCell ref="B491:E492"/>
    <mergeCell ref="F491:F492"/>
    <mergeCell ref="G491:G492"/>
    <mergeCell ref="H491:H492"/>
    <mergeCell ref="I491:I492"/>
    <mergeCell ref="J491:J492"/>
    <mergeCell ref="B493:E493"/>
    <mergeCell ref="B494:E495"/>
    <mergeCell ref="F494:F495"/>
    <mergeCell ref="G494:G495"/>
    <mergeCell ref="H494:H495"/>
    <mergeCell ref="I494:I495"/>
    <mergeCell ref="J494:J495"/>
    <mergeCell ref="R497:R498"/>
    <mergeCell ref="S497:S498"/>
    <mergeCell ref="T497:T498"/>
    <mergeCell ref="B496:E496"/>
    <mergeCell ref="B497:E498"/>
    <mergeCell ref="F497:F498"/>
    <mergeCell ref="G497:G498"/>
    <mergeCell ref="H497:H498"/>
    <mergeCell ref="I497:I498"/>
    <mergeCell ref="J497:J498"/>
    <mergeCell ref="R491:R492"/>
    <mergeCell ref="S491:S492"/>
    <mergeCell ref="T491:T492"/>
    <mergeCell ref="U491:U492"/>
    <mergeCell ref="V491:V492"/>
    <mergeCell ref="W491:W492"/>
    <mergeCell ref="X491:X492"/>
    <mergeCell ref="Y491:Y492"/>
    <mergeCell ref="K491:K492"/>
    <mergeCell ref="L491:L492"/>
    <mergeCell ref="M491:M492"/>
    <mergeCell ref="N491:N492"/>
    <mergeCell ref="O491:O492"/>
    <mergeCell ref="P491:P492"/>
    <mergeCell ref="Q491:Q492"/>
    <mergeCell ref="R494:R495"/>
    <mergeCell ref="S494:S495"/>
    <mergeCell ref="T494:T495"/>
    <mergeCell ref="U494:U495"/>
    <mergeCell ref="V494:V495"/>
    <mergeCell ref="W494:W495"/>
    <mergeCell ref="X494:X495"/>
    <mergeCell ref="Y494:Y495"/>
    <mergeCell ref="K494:K495"/>
    <mergeCell ref="L494:L495"/>
    <mergeCell ref="M494:M495"/>
    <mergeCell ref="N494:N495"/>
    <mergeCell ref="O494:O495"/>
    <mergeCell ref="P494:P495"/>
    <mergeCell ref="Q494:Q495"/>
    <mergeCell ref="B484:E484"/>
    <mergeCell ref="B485:E486"/>
    <mergeCell ref="F485:F486"/>
    <mergeCell ref="G485:G486"/>
    <mergeCell ref="H485:H486"/>
    <mergeCell ref="I485:I486"/>
    <mergeCell ref="J485:J486"/>
    <mergeCell ref="S488:S489"/>
    <mergeCell ref="T488:T489"/>
    <mergeCell ref="U488:U489"/>
    <mergeCell ref="V488:V489"/>
    <mergeCell ref="W488:W489"/>
    <mergeCell ref="X488:X489"/>
    <mergeCell ref="Y488:Y489"/>
    <mergeCell ref="K488:K489"/>
    <mergeCell ref="L488:L489"/>
    <mergeCell ref="M488:M489"/>
    <mergeCell ref="N488:N489"/>
    <mergeCell ref="O488:O489"/>
    <mergeCell ref="Q488:Q489"/>
    <mergeCell ref="R488:R489"/>
    <mergeCell ref="B487:E487"/>
    <mergeCell ref="B488:E489"/>
    <mergeCell ref="F488:F489"/>
    <mergeCell ref="G488:G489"/>
    <mergeCell ref="H488:H489"/>
    <mergeCell ref="I488:I489"/>
    <mergeCell ref="J488:J489"/>
    <mergeCell ref="B511:E511"/>
    <mergeCell ref="B512:E513"/>
    <mergeCell ref="F512:F513"/>
    <mergeCell ref="G512:G513"/>
    <mergeCell ref="H512:H513"/>
    <mergeCell ref="I512:I513"/>
    <mergeCell ref="J512:J513"/>
    <mergeCell ref="T509:T510"/>
    <mergeCell ref="T512:T513"/>
    <mergeCell ref="U512:U513"/>
    <mergeCell ref="V512:V513"/>
    <mergeCell ref="W512:W513"/>
    <mergeCell ref="X512:X513"/>
    <mergeCell ref="Y512:Y513"/>
    <mergeCell ref="R509:R510"/>
    <mergeCell ref="S509:S510"/>
    <mergeCell ref="U509:U510"/>
    <mergeCell ref="V509:V510"/>
    <mergeCell ref="W509:W510"/>
    <mergeCell ref="X509:X510"/>
    <mergeCell ref="Y509:Y510"/>
    <mergeCell ref="T506:T507"/>
    <mergeCell ref="U506:U507"/>
    <mergeCell ref="V506:V507"/>
    <mergeCell ref="W506:W507"/>
    <mergeCell ref="X506:X507"/>
    <mergeCell ref="Y506:Y507"/>
    <mergeCell ref="K506:K507"/>
    <mergeCell ref="L506:L507"/>
    <mergeCell ref="M506:M507"/>
    <mergeCell ref="N506:N507"/>
    <mergeCell ref="O506:O507"/>
    <mergeCell ref="P506:P507"/>
    <mergeCell ref="Q506:Q507"/>
    <mergeCell ref="K509:K510"/>
    <mergeCell ref="L509:L510"/>
    <mergeCell ref="M509:M510"/>
    <mergeCell ref="N509:N510"/>
    <mergeCell ref="O509:O510"/>
    <mergeCell ref="P509:P510"/>
    <mergeCell ref="Q509:Q510"/>
    <mergeCell ref="B505:E505"/>
    <mergeCell ref="B506:E507"/>
    <mergeCell ref="F506:F507"/>
    <mergeCell ref="G506:G507"/>
    <mergeCell ref="H506:H507"/>
    <mergeCell ref="I506:I507"/>
    <mergeCell ref="J506:J507"/>
    <mergeCell ref="B508:E508"/>
    <mergeCell ref="B509:E510"/>
    <mergeCell ref="F509:F510"/>
    <mergeCell ref="G509:G510"/>
    <mergeCell ref="H509:H510"/>
    <mergeCell ref="I509:I510"/>
    <mergeCell ref="J509:J510"/>
    <mergeCell ref="R503:R504"/>
    <mergeCell ref="S503:S504"/>
    <mergeCell ref="K503:K504"/>
    <mergeCell ref="L503:L504"/>
    <mergeCell ref="M503:M504"/>
    <mergeCell ref="N503:N504"/>
    <mergeCell ref="O503:O504"/>
    <mergeCell ref="P503:P504"/>
    <mergeCell ref="Q503:Q504"/>
    <mergeCell ref="R506:R507"/>
    <mergeCell ref="S506:S507"/>
    <mergeCell ref="B463:E463"/>
    <mergeCell ref="B464:E465"/>
    <mergeCell ref="F464:F465"/>
    <mergeCell ref="G464:G465"/>
    <mergeCell ref="H464:H465"/>
    <mergeCell ref="I464:I465"/>
    <mergeCell ref="J464:J465"/>
    <mergeCell ref="T461:T462"/>
    <mergeCell ref="T464:T465"/>
    <mergeCell ref="U464:U465"/>
    <mergeCell ref="V464:V465"/>
    <mergeCell ref="W464:W465"/>
    <mergeCell ref="X464:X465"/>
    <mergeCell ref="Y464:Y465"/>
    <mergeCell ref="R461:R462"/>
    <mergeCell ref="S461:S462"/>
    <mergeCell ref="U461:U462"/>
    <mergeCell ref="V461:V462"/>
    <mergeCell ref="W461:W462"/>
    <mergeCell ref="X461:X462"/>
    <mergeCell ref="Y461:Y462"/>
    <mergeCell ref="T458:T459"/>
    <mergeCell ref="U458:U459"/>
    <mergeCell ref="V458:V459"/>
    <mergeCell ref="W458:W459"/>
    <mergeCell ref="X458:X459"/>
    <mergeCell ref="Y458:Y459"/>
    <mergeCell ref="K458:K459"/>
    <mergeCell ref="L458:L459"/>
    <mergeCell ref="M458:M459"/>
    <mergeCell ref="N458:N459"/>
    <mergeCell ref="O458:O459"/>
    <mergeCell ref="P458:P459"/>
    <mergeCell ref="Q458:Q459"/>
    <mergeCell ref="K461:K462"/>
    <mergeCell ref="L461:L462"/>
    <mergeCell ref="M461:M462"/>
    <mergeCell ref="N461:N462"/>
    <mergeCell ref="O461:O462"/>
    <mergeCell ref="P461:P462"/>
    <mergeCell ref="Q461:Q462"/>
    <mergeCell ref="B457:E457"/>
    <mergeCell ref="B458:E459"/>
    <mergeCell ref="F458:F459"/>
    <mergeCell ref="G458:G459"/>
    <mergeCell ref="H458:H459"/>
    <mergeCell ref="I458:I459"/>
    <mergeCell ref="J458:J459"/>
    <mergeCell ref="B460:E460"/>
    <mergeCell ref="B461:E462"/>
    <mergeCell ref="F461:F462"/>
    <mergeCell ref="G461:G462"/>
    <mergeCell ref="H461:H462"/>
    <mergeCell ref="I461:I462"/>
    <mergeCell ref="J461:J462"/>
    <mergeCell ref="R455:R456"/>
    <mergeCell ref="S455:S456"/>
    <mergeCell ref="K455:K456"/>
    <mergeCell ref="L455:L456"/>
    <mergeCell ref="M455:M456"/>
    <mergeCell ref="N455:N456"/>
    <mergeCell ref="O455:O456"/>
    <mergeCell ref="P455:P456"/>
    <mergeCell ref="Q455:Q456"/>
    <mergeCell ref="R458:R459"/>
    <mergeCell ref="S458:S459"/>
    <mergeCell ref="B454:E454"/>
    <mergeCell ref="B455:E456"/>
    <mergeCell ref="F455:F456"/>
    <mergeCell ref="G455:G456"/>
    <mergeCell ref="H455:H456"/>
    <mergeCell ref="I455:I456"/>
    <mergeCell ref="J455:J456"/>
    <mergeCell ref="T452:T453"/>
    <mergeCell ref="T455:T456"/>
    <mergeCell ref="U455:U456"/>
    <mergeCell ref="V455:V456"/>
    <mergeCell ref="W455:W456"/>
    <mergeCell ref="X455:X456"/>
    <mergeCell ref="Y455:Y456"/>
    <mergeCell ref="R452:R453"/>
    <mergeCell ref="S452:S453"/>
    <mergeCell ref="U452:U453"/>
    <mergeCell ref="V452:V453"/>
    <mergeCell ref="W452:W453"/>
    <mergeCell ref="X452:X453"/>
    <mergeCell ref="Y452:Y453"/>
    <mergeCell ref="T449:T450"/>
    <mergeCell ref="U449:U450"/>
    <mergeCell ref="V449:V450"/>
    <mergeCell ref="W449:W450"/>
    <mergeCell ref="X449:X450"/>
    <mergeCell ref="Y449:Y450"/>
    <mergeCell ref="K449:K450"/>
    <mergeCell ref="L449:L450"/>
    <mergeCell ref="M449:M450"/>
    <mergeCell ref="N449:N450"/>
    <mergeCell ref="O449:O450"/>
    <mergeCell ref="P449:P450"/>
    <mergeCell ref="Q449:Q450"/>
    <mergeCell ref="K452:K453"/>
    <mergeCell ref="L452:L453"/>
    <mergeCell ref="M452:M453"/>
    <mergeCell ref="N452:N453"/>
    <mergeCell ref="O452:O453"/>
    <mergeCell ref="P452:P453"/>
    <mergeCell ref="Q452:Q453"/>
    <mergeCell ref="B448:E448"/>
    <mergeCell ref="B449:E450"/>
    <mergeCell ref="F449:F450"/>
    <mergeCell ref="G449:G450"/>
    <mergeCell ref="H449:H450"/>
    <mergeCell ref="I449:I450"/>
    <mergeCell ref="J449:J450"/>
    <mergeCell ref="B451:E451"/>
    <mergeCell ref="B452:E453"/>
    <mergeCell ref="F452:F453"/>
    <mergeCell ref="G452:G453"/>
    <mergeCell ref="H452:H453"/>
    <mergeCell ref="I452:I453"/>
    <mergeCell ref="J452:J453"/>
    <mergeCell ref="R446:R447"/>
    <mergeCell ref="S446:S447"/>
    <mergeCell ref="K446:K447"/>
    <mergeCell ref="L446:L447"/>
    <mergeCell ref="M446:M447"/>
    <mergeCell ref="N446:N447"/>
    <mergeCell ref="O446:O447"/>
    <mergeCell ref="P446:P447"/>
    <mergeCell ref="Q446:Q447"/>
    <mergeCell ref="R449:R450"/>
    <mergeCell ref="S449:S450"/>
    <mergeCell ref="B445:E445"/>
    <mergeCell ref="B446:E447"/>
    <mergeCell ref="F446:F447"/>
    <mergeCell ref="G446:G447"/>
    <mergeCell ref="H446:H447"/>
    <mergeCell ref="I446:I447"/>
    <mergeCell ref="J446:J447"/>
    <mergeCell ref="T443:T444"/>
    <mergeCell ref="T446:T447"/>
    <mergeCell ref="U446:U447"/>
    <mergeCell ref="V446:V447"/>
    <mergeCell ref="W446:W447"/>
    <mergeCell ref="X446:X447"/>
    <mergeCell ref="Y446:Y447"/>
    <mergeCell ref="R443:R444"/>
    <mergeCell ref="S443:S444"/>
    <mergeCell ref="U443:U444"/>
    <mergeCell ref="V443:V444"/>
    <mergeCell ref="W443:W444"/>
    <mergeCell ref="X443:X444"/>
    <mergeCell ref="Y443:Y444"/>
    <mergeCell ref="T440:T441"/>
    <mergeCell ref="U440:U441"/>
    <mergeCell ref="V440:V441"/>
    <mergeCell ref="W440:W441"/>
    <mergeCell ref="X440:X441"/>
    <mergeCell ref="Y440:Y441"/>
    <mergeCell ref="K440:K441"/>
    <mergeCell ref="L440:L441"/>
    <mergeCell ref="M440:M441"/>
    <mergeCell ref="N440:N441"/>
    <mergeCell ref="O440:O441"/>
    <mergeCell ref="P440:P441"/>
    <mergeCell ref="Q440:Q441"/>
    <mergeCell ref="K443:K444"/>
    <mergeCell ref="L443:L444"/>
    <mergeCell ref="M443:M444"/>
    <mergeCell ref="N443:N444"/>
    <mergeCell ref="O443:O444"/>
    <mergeCell ref="P443:P444"/>
    <mergeCell ref="Q443:Q444"/>
    <mergeCell ref="B439:E439"/>
    <mergeCell ref="B440:E441"/>
    <mergeCell ref="F440:F441"/>
    <mergeCell ref="G440:G441"/>
    <mergeCell ref="H440:H441"/>
    <mergeCell ref="I440:I441"/>
    <mergeCell ref="J440:J441"/>
    <mergeCell ref="B442:E442"/>
    <mergeCell ref="B443:E444"/>
    <mergeCell ref="F443:F444"/>
    <mergeCell ref="G443:G444"/>
    <mergeCell ref="H443:H444"/>
    <mergeCell ref="I443:I444"/>
    <mergeCell ref="J443:J444"/>
    <mergeCell ref="R437:R438"/>
    <mergeCell ref="S437:S438"/>
    <mergeCell ref="K437:K438"/>
    <mergeCell ref="L437:L438"/>
    <mergeCell ref="M437:M438"/>
    <mergeCell ref="N437:N438"/>
    <mergeCell ref="O437:O438"/>
    <mergeCell ref="P437:P438"/>
    <mergeCell ref="Q437:Q438"/>
    <mergeCell ref="R440:R441"/>
    <mergeCell ref="S440:S441"/>
    <mergeCell ref="B436:E436"/>
    <mergeCell ref="B437:E438"/>
    <mergeCell ref="F437:F438"/>
    <mergeCell ref="G437:G438"/>
    <mergeCell ref="H437:H438"/>
    <mergeCell ref="I437:I438"/>
    <mergeCell ref="J437:J438"/>
    <mergeCell ref="T434:T435"/>
    <mergeCell ref="T437:T438"/>
    <mergeCell ref="U437:U438"/>
    <mergeCell ref="V437:V438"/>
    <mergeCell ref="W437:W438"/>
    <mergeCell ref="X437:X438"/>
    <mergeCell ref="Y437:Y438"/>
    <mergeCell ref="R434:R435"/>
    <mergeCell ref="S434:S435"/>
    <mergeCell ref="U434:U435"/>
    <mergeCell ref="V434:V435"/>
    <mergeCell ref="W434:W435"/>
    <mergeCell ref="X434:X435"/>
    <mergeCell ref="Y434:Y435"/>
    <mergeCell ref="T431:T432"/>
    <mergeCell ref="U431:U432"/>
    <mergeCell ref="V431:V432"/>
    <mergeCell ref="W431:W432"/>
    <mergeCell ref="X431:X432"/>
    <mergeCell ref="Y431:Y432"/>
    <mergeCell ref="K431:K432"/>
    <mergeCell ref="L431:L432"/>
    <mergeCell ref="M431:M432"/>
    <mergeCell ref="N431:N432"/>
    <mergeCell ref="O431:O432"/>
    <mergeCell ref="P431:P432"/>
    <mergeCell ref="Q431:Q432"/>
    <mergeCell ref="K434:K435"/>
    <mergeCell ref="L434:L435"/>
    <mergeCell ref="M434:M435"/>
    <mergeCell ref="N434:N435"/>
    <mergeCell ref="O434:O435"/>
    <mergeCell ref="P434:P435"/>
    <mergeCell ref="Q434:Q435"/>
    <mergeCell ref="B430:E430"/>
    <mergeCell ref="B431:E432"/>
    <mergeCell ref="F431:F432"/>
    <mergeCell ref="G431:G432"/>
    <mergeCell ref="H431:H432"/>
    <mergeCell ref="I431:I432"/>
    <mergeCell ref="J431:J432"/>
    <mergeCell ref="B433:E433"/>
    <mergeCell ref="B434:E435"/>
    <mergeCell ref="F434:F435"/>
    <mergeCell ref="G434:G435"/>
    <mergeCell ref="H434:H435"/>
    <mergeCell ref="I434:I435"/>
    <mergeCell ref="J434:J435"/>
    <mergeCell ref="R428:R429"/>
    <mergeCell ref="S428:S429"/>
    <mergeCell ref="K428:K429"/>
    <mergeCell ref="L428:L429"/>
    <mergeCell ref="M428:M429"/>
    <mergeCell ref="N428:N429"/>
    <mergeCell ref="O428:O429"/>
    <mergeCell ref="P428:P429"/>
    <mergeCell ref="Q428:Q429"/>
    <mergeCell ref="R431:R432"/>
    <mergeCell ref="S431:S432"/>
    <mergeCell ref="B427:E427"/>
    <mergeCell ref="B428:E429"/>
    <mergeCell ref="F428:F429"/>
    <mergeCell ref="G428:G429"/>
    <mergeCell ref="H428:H429"/>
    <mergeCell ref="I428:I429"/>
    <mergeCell ref="J428:J429"/>
    <mergeCell ref="T425:T426"/>
    <mergeCell ref="T428:T429"/>
    <mergeCell ref="U428:U429"/>
    <mergeCell ref="V428:V429"/>
    <mergeCell ref="W428:W429"/>
    <mergeCell ref="X428:X429"/>
    <mergeCell ref="Y428:Y429"/>
    <mergeCell ref="R425:R426"/>
    <mergeCell ref="S425:S426"/>
    <mergeCell ref="U425:U426"/>
    <mergeCell ref="V425:V426"/>
    <mergeCell ref="W425:W426"/>
    <mergeCell ref="X425:X426"/>
    <mergeCell ref="Y425:Y426"/>
    <mergeCell ref="T422:T423"/>
    <mergeCell ref="U422:U423"/>
    <mergeCell ref="V422:V423"/>
    <mergeCell ref="W422:W423"/>
    <mergeCell ref="X422:X423"/>
    <mergeCell ref="Y422:Y423"/>
    <mergeCell ref="K422:K423"/>
    <mergeCell ref="L422:L423"/>
    <mergeCell ref="M422:M423"/>
    <mergeCell ref="N422:N423"/>
    <mergeCell ref="O422:O423"/>
    <mergeCell ref="P422:P423"/>
    <mergeCell ref="Q422:Q423"/>
    <mergeCell ref="K425:K426"/>
    <mergeCell ref="L425:L426"/>
    <mergeCell ref="M425:M426"/>
    <mergeCell ref="N425:N426"/>
    <mergeCell ref="O425:O426"/>
    <mergeCell ref="P425:P426"/>
    <mergeCell ref="Q425:Q426"/>
    <mergeCell ref="B421:E421"/>
    <mergeCell ref="B422:E423"/>
    <mergeCell ref="F422:F423"/>
    <mergeCell ref="G422:G423"/>
    <mergeCell ref="H422:H423"/>
    <mergeCell ref="I422:I423"/>
    <mergeCell ref="J422:J423"/>
    <mergeCell ref="B424:E424"/>
    <mergeCell ref="B425:E426"/>
    <mergeCell ref="F425:F426"/>
    <mergeCell ref="G425:G426"/>
    <mergeCell ref="H425:H426"/>
    <mergeCell ref="I425:I426"/>
    <mergeCell ref="J425:J426"/>
    <mergeCell ref="R419:R420"/>
    <mergeCell ref="S419:S420"/>
    <mergeCell ref="K419:K420"/>
    <mergeCell ref="L419:L420"/>
    <mergeCell ref="M419:M420"/>
    <mergeCell ref="N419:N420"/>
    <mergeCell ref="O419:O420"/>
    <mergeCell ref="P419:P420"/>
    <mergeCell ref="Q419:Q420"/>
    <mergeCell ref="R422:R423"/>
    <mergeCell ref="S422:S423"/>
    <mergeCell ref="B418:E418"/>
    <mergeCell ref="B419:E420"/>
    <mergeCell ref="F419:F420"/>
    <mergeCell ref="G419:G420"/>
    <mergeCell ref="H419:H420"/>
    <mergeCell ref="I419:I420"/>
    <mergeCell ref="J419:J420"/>
    <mergeCell ref="T416:T417"/>
    <mergeCell ref="T419:T420"/>
    <mergeCell ref="U419:U420"/>
    <mergeCell ref="V419:V420"/>
    <mergeCell ref="W419:W420"/>
    <mergeCell ref="X419:X420"/>
    <mergeCell ref="Y419:Y420"/>
    <mergeCell ref="R416:R417"/>
    <mergeCell ref="S416:S417"/>
    <mergeCell ref="U416:U417"/>
    <mergeCell ref="V416:V417"/>
    <mergeCell ref="W416:W417"/>
    <mergeCell ref="X416:X417"/>
    <mergeCell ref="Y416:Y417"/>
    <mergeCell ref="V413:V414"/>
    <mergeCell ref="W413:W414"/>
    <mergeCell ref="X413:X414"/>
    <mergeCell ref="Y413:Y414"/>
    <mergeCell ref="K413:K414"/>
    <mergeCell ref="L413:L414"/>
    <mergeCell ref="M413:M414"/>
    <mergeCell ref="N413:N414"/>
    <mergeCell ref="O413:O414"/>
    <mergeCell ref="P413:P414"/>
    <mergeCell ref="Q413:Q414"/>
    <mergeCell ref="K416:K417"/>
    <mergeCell ref="L416:L417"/>
    <mergeCell ref="M416:M417"/>
    <mergeCell ref="N416:N417"/>
    <mergeCell ref="O416:O417"/>
    <mergeCell ref="P416:P417"/>
    <mergeCell ref="Q416:Q417"/>
    <mergeCell ref="G416:G417"/>
    <mergeCell ref="H416:H417"/>
    <mergeCell ref="I416:I417"/>
    <mergeCell ref="J416:J417"/>
    <mergeCell ref="R410:R411"/>
    <mergeCell ref="S410:S411"/>
    <mergeCell ref="K410:K411"/>
    <mergeCell ref="L410:L411"/>
    <mergeCell ref="M410:M411"/>
    <mergeCell ref="N410:N411"/>
    <mergeCell ref="O410:O411"/>
    <mergeCell ref="P410:P411"/>
    <mergeCell ref="Q410:Q411"/>
    <mergeCell ref="R413:R414"/>
    <mergeCell ref="S413:S414"/>
    <mergeCell ref="T413:T414"/>
    <mergeCell ref="U413:U414"/>
    <mergeCell ref="B397:E397"/>
    <mergeCell ref="B398:E399"/>
    <mergeCell ref="F398:F399"/>
    <mergeCell ref="G398:G399"/>
    <mergeCell ref="H398:H399"/>
    <mergeCell ref="I398:I399"/>
    <mergeCell ref="J398:J399"/>
    <mergeCell ref="R473:R474"/>
    <mergeCell ref="S473:S474"/>
    <mergeCell ref="T473:T474"/>
    <mergeCell ref="U473:U474"/>
    <mergeCell ref="V473:V474"/>
    <mergeCell ref="W473:W474"/>
    <mergeCell ref="X473:X474"/>
    <mergeCell ref="Y473:Y474"/>
    <mergeCell ref="K473:K474"/>
    <mergeCell ref="L473:L474"/>
    <mergeCell ref="M473:M474"/>
    <mergeCell ref="N473:N474"/>
    <mergeCell ref="O473:O474"/>
    <mergeCell ref="P473:P474"/>
    <mergeCell ref="Q473:Q474"/>
    <mergeCell ref="B412:E412"/>
    <mergeCell ref="B413:E414"/>
    <mergeCell ref="F413:F414"/>
    <mergeCell ref="G413:G414"/>
    <mergeCell ref="H413:H414"/>
    <mergeCell ref="I413:I414"/>
    <mergeCell ref="J413:J414"/>
    <mergeCell ref="B415:E415"/>
    <mergeCell ref="B416:E417"/>
    <mergeCell ref="F416:F417"/>
    <mergeCell ref="O377:O378"/>
    <mergeCell ref="P377:P378"/>
    <mergeCell ref="Q377:Q378"/>
    <mergeCell ref="K380:K381"/>
    <mergeCell ref="L380:L381"/>
    <mergeCell ref="M380:M381"/>
    <mergeCell ref="N380:N381"/>
    <mergeCell ref="O380:O381"/>
    <mergeCell ref="P380:P381"/>
    <mergeCell ref="Q380:Q381"/>
    <mergeCell ref="T380:T381"/>
    <mergeCell ref="T383:T384"/>
    <mergeCell ref="U383:U384"/>
    <mergeCell ref="V383:V384"/>
    <mergeCell ref="W383:W384"/>
    <mergeCell ref="X383:X384"/>
    <mergeCell ref="Y383:Y384"/>
    <mergeCell ref="R380:R381"/>
    <mergeCell ref="S380:S381"/>
    <mergeCell ref="U380:U381"/>
    <mergeCell ref="V380:V381"/>
    <mergeCell ref="W380:W381"/>
    <mergeCell ref="X380:X381"/>
    <mergeCell ref="Y380:Y381"/>
    <mergeCell ref="B379:E379"/>
    <mergeCell ref="B380:E381"/>
    <mergeCell ref="F380:F381"/>
    <mergeCell ref="G380:G381"/>
    <mergeCell ref="H380:H381"/>
    <mergeCell ref="I380:I381"/>
    <mergeCell ref="J380:J381"/>
    <mergeCell ref="R383:R384"/>
    <mergeCell ref="S383:S384"/>
    <mergeCell ref="K383:K384"/>
    <mergeCell ref="L383:L384"/>
    <mergeCell ref="M383:M384"/>
    <mergeCell ref="N383:N384"/>
    <mergeCell ref="O383:O384"/>
    <mergeCell ref="P383:P384"/>
    <mergeCell ref="Q383:Q384"/>
    <mergeCell ref="B370:E370"/>
    <mergeCell ref="B371:E372"/>
    <mergeCell ref="F371:F372"/>
    <mergeCell ref="G371:G372"/>
    <mergeCell ref="H371:H372"/>
    <mergeCell ref="I371:I372"/>
    <mergeCell ref="J371:J372"/>
    <mergeCell ref="B373:E373"/>
    <mergeCell ref="B374:E375"/>
    <mergeCell ref="F374:F375"/>
    <mergeCell ref="G374:G375"/>
    <mergeCell ref="H374:H375"/>
    <mergeCell ref="I374:I375"/>
    <mergeCell ref="J374:J375"/>
    <mergeCell ref="R377:R378"/>
    <mergeCell ref="S377:S378"/>
    <mergeCell ref="R374:R375"/>
    <mergeCell ref="S374:S375"/>
    <mergeCell ref="T374:T375"/>
    <mergeCell ref="U374:U375"/>
    <mergeCell ref="V374:V375"/>
    <mergeCell ref="W374:W375"/>
    <mergeCell ref="X374:X375"/>
    <mergeCell ref="Y374:Y375"/>
    <mergeCell ref="K374:K375"/>
    <mergeCell ref="L374:L375"/>
    <mergeCell ref="M374:M375"/>
    <mergeCell ref="N374:N375"/>
    <mergeCell ref="O374:O375"/>
    <mergeCell ref="P374:P375"/>
    <mergeCell ref="Q374:Q375"/>
    <mergeCell ref="B376:E376"/>
    <mergeCell ref="B377:E378"/>
    <mergeCell ref="F377:F378"/>
    <mergeCell ref="G377:G378"/>
    <mergeCell ref="H377:H378"/>
    <mergeCell ref="I377:I378"/>
    <mergeCell ref="J377:J378"/>
    <mergeCell ref="T377:T378"/>
    <mergeCell ref="U377:U378"/>
    <mergeCell ref="V377:V378"/>
    <mergeCell ref="W377:W378"/>
    <mergeCell ref="X377:X378"/>
    <mergeCell ref="Y377:Y378"/>
    <mergeCell ref="K377:K378"/>
    <mergeCell ref="L377:L378"/>
    <mergeCell ref="M377:M378"/>
    <mergeCell ref="N377:N378"/>
    <mergeCell ref="T365:T366"/>
    <mergeCell ref="U365:U366"/>
    <mergeCell ref="V365:V366"/>
    <mergeCell ref="W365:W366"/>
    <mergeCell ref="X365:X366"/>
    <mergeCell ref="Y365:Y366"/>
    <mergeCell ref="K365:K366"/>
    <mergeCell ref="L365:L366"/>
    <mergeCell ref="M365:M366"/>
    <mergeCell ref="N365:N366"/>
    <mergeCell ref="O365:O366"/>
    <mergeCell ref="P365:P366"/>
    <mergeCell ref="Q365:Q366"/>
    <mergeCell ref="R368:R369"/>
    <mergeCell ref="S368:S369"/>
    <mergeCell ref="T368:T369"/>
    <mergeCell ref="U368:U369"/>
    <mergeCell ref="V368:V369"/>
    <mergeCell ref="W368:W369"/>
    <mergeCell ref="X368:X369"/>
    <mergeCell ref="Y368:Y369"/>
    <mergeCell ref="K368:K369"/>
    <mergeCell ref="L368:L369"/>
    <mergeCell ref="M368:M369"/>
    <mergeCell ref="N368:N369"/>
    <mergeCell ref="O368:O369"/>
    <mergeCell ref="P368:P369"/>
    <mergeCell ref="Q368:Q369"/>
    <mergeCell ref="B364:E364"/>
    <mergeCell ref="B365:E366"/>
    <mergeCell ref="F365:F366"/>
    <mergeCell ref="G365:G366"/>
    <mergeCell ref="H365:H366"/>
    <mergeCell ref="I365:I366"/>
    <mergeCell ref="J365:J366"/>
    <mergeCell ref="B367:E367"/>
    <mergeCell ref="B368:E369"/>
    <mergeCell ref="F368:F369"/>
    <mergeCell ref="G368:G369"/>
    <mergeCell ref="H368:H369"/>
    <mergeCell ref="I368:I369"/>
    <mergeCell ref="J368:J369"/>
    <mergeCell ref="R362:R363"/>
    <mergeCell ref="S362:S363"/>
    <mergeCell ref="K362:K363"/>
    <mergeCell ref="L362:L363"/>
    <mergeCell ref="M362:M363"/>
    <mergeCell ref="N362:N363"/>
    <mergeCell ref="O362:O363"/>
    <mergeCell ref="P362:P363"/>
    <mergeCell ref="Q362:Q363"/>
    <mergeCell ref="R365:R366"/>
    <mergeCell ref="S365:S366"/>
    <mergeCell ref="B400:E400"/>
    <mergeCell ref="B401:E402"/>
    <mergeCell ref="F401:F402"/>
    <mergeCell ref="G401:G402"/>
    <mergeCell ref="H401:H402"/>
    <mergeCell ref="I401:I402"/>
    <mergeCell ref="J401:J402"/>
    <mergeCell ref="T398:T399"/>
    <mergeCell ref="T401:T402"/>
    <mergeCell ref="U401:U402"/>
    <mergeCell ref="V401:V402"/>
    <mergeCell ref="W401:W402"/>
    <mergeCell ref="X401:X402"/>
    <mergeCell ref="Y401:Y402"/>
    <mergeCell ref="R398:R399"/>
    <mergeCell ref="S398:S399"/>
    <mergeCell ref="U398:U399"/>
    <mergeCell ref="V398:V399"/>
    <mergeCell ref="W398:W399"/>
    <mergeCell ref="X398:X399"/>
    <mergeCell ref="Y398:Y399"/>
    <mergeCell ref="U395:U396"/>
    <mergeCell ref="V395:V396"/>
    <mergeCell ref="W395:W396"/>
    <mergeCell ref="X395:X396"/>
    <mergeCell ref="Y395:Y396"/>
    <mergeCell ref="K395:K396"/>
    <mergeCell ref="L395:L396"/>
    <mergeCell ref="M395:M396"/>
    <mergeCell ref="N395:N396"/>
    <mergeCell ref="O395:O396"/>
    <mergeCell ref="P395:P396"/>
    <mergeCell ref="Q395:Q396"/>
    <mergeCell ref="K398:K399"/>
    <mergeCell ref="L398:L399"/>
    <mergeCell ref="M398:M399"/>
    <mergeCell ref="N398:N399"/>
    <mergeCell ref="O398:O399"/>
    <mergeCell ref="P398:P399"/>
    <mergeCell ref="Q398:Q399"/>
    <mergeCell ref="B388:E388"/>
    <mergeCell ref="B389:E390"/>
    <mergeCell ref="F389:F390"/>
    <mergeCell ref="G389:G390"/>
    <mergeCell ref="H389:H390"/>
    <mergeCell ref="I389:I390"/>
    <mergeCell ref="J389:J390"/>
    <mergeCell ref="B391:E391"/>
    <mergeCell ref="B392:E393"/>
    <mergeCell ref="F392:F393"/>
    <mergeCell ref="G392:G393"/>
    <mergeCell ref="H392:H393"/>
    <mergeCell ref="I392:I393"/>
    <mergeCell ref="J392:J393"/>
    <mergeCell ref="R395:R396"/>
    <mergeCell ref="S395:S396"/>
    <mergeCell ref="T395:T396"/>
    <mergeCell ref="B394:E394"/>
    <mergeCell ref="B395:E396"/>
    <mergeCell ref="F395:F396"/>
    <mergeCell ref="G395:G396"/>
    <mergeCell ref="H395:H396"/>
    <mergeCell ref="I395:I396"/>
    <mergeCell ref="J395:J396"/>
    <mergeCell ref="R389:R390"/>
    <mergeCell ref="S389:S390"/>
    <mergeCell ref="T389:T390"/>
    <mergeCell ref="U389:U390"/>
    <mergeCell ref="V389:V390"/>
    <mergeCell ref="W389:W390"/>
    <mergeCell ref="X389:X390"/>
    <mergeCell ref="Y389:Y390"/>
    <mergeCell ref="K389:K390"/>
    <mergeCell ref="L389:L390"/>
    <mergeCell ref="M389:M390"/>
    <mergeCell ref="N389:N390"/>
    <mergeCell ref="O389:O390"/>
    <mergeCell ref="P389:P390"/>
    <mergeCell ref="Q389:Q390"/>
    <mergeCell ref="R392:R393"/>
    <mergeCell ref="S392:S393"/>
    <mergeCell ref="T392:T393"/>
    <mergeCell ref="U392:U393"/>
    <mergeCell ref="V392:V393"/>
    <mergeCell ref="W392:W393"/>
    <mergeCell ref="X392:X393"/>
    <mergeCell ref="Y392:Y393"/>
    <mergeCell ref="K392:K393"/>
    <mergeCell ref="L392:L393"/>
    <mergeCell ref="M392:M393"/>
    <mergeCell ref="N392:N393"/>
    <mergeCell ref="O392:O393"/>
    <mergeCell ref="P392:P393"/>
    <mergeCell ref="Q392:Q393"/>
    <mergeCell ref="B382:E382"/>
    <mergeCell ref="B383:E384"/>
    <mergeCell ref="F383:F384"/>
    <mergeCell ref="G383:G384"/>
    <mergeCell ref="H383:H384"/>
    <mergeCell ref="I383:I384"/>
    <mergeCell ref="J383:J384"/>
    <mergeCell ref="R386:R387"/>
    <mergeCell ref="S386:S387"/>
    <mergeCell ref="T386:T387"/>
    <mergeCell ref="U386:U387"/>
    <mergeCell ref="V386:V387"/>
    <mergeCell ref="W386:W387"/>
    <mergeCell ref="X386:X387"/>
    <mergeCell ref="Y386:Y387"/>
    <mergeCell ref="K386:K387"/>
    <mergeCell ref="L386:L387"/>
    <mergeCell ref="M386:M387"/>
    <mergeCell ref="N386:N387"/>
    <mergeCell ref="O386:O387"/>
    <mergeCell ref="P386:P387"/>
    <mergeCell ref="Q386:Q387"/>
    <mergeCell ref="B385:E385"/>
    <mergeCell ref="B386:E387"/>
    <mergeCell ref="F386:F387"/>
    <mergeCell ref="G386:G387"/>
    <mergeCell ref="H386:H387"/>
    <mergeCell ref="I386:I387"/>
    <mergeCell ref="J386:J387"/>
    <mergeCell ref="B409:E409"/>
    <mergeCell ref="B410:E411"/>
    <mergeCell ref="F410:F411"/>
    <mergeCell ref="G410:G411"/>
    <mergeCell ref="H410:H411"/>
    <mergeCell ref="I410:I411"/>
    <mergeCell ref="J410:J411"/>
    <mergeCell ref="T407:T408"/>
    <mergeCell ref="T410:T411"/>
    <mergeCell ref="U410:U411"/>
    <mergeCell ref="V410:V411"/>
    <mergeCell ref="W410:W411"/>
    <mergeCell ref="X410:X411"/>
    <mergeCell ref="Y410:Y411"/>
    <mergeCell ref="R407:R408"/>
    <mergeCell ref="S407:S408"/>
    <mergeCell ref="U407:U408"/>
    <mergeCell ref="V407:V408"/>
    <mergeCell ref="W407:W408"/>
    <mergeCell ref="X407:X408"/>
    <mergeCell ref="Y407:Y408"/>
    <mergeCell ref="T404:T405"/>
    <mergeCell ref="U404:U405"/>
    <mergeCell ref="V404:V405"/>
    <mergeCell ref="W404:W405"/>
    <mergeCell ref="X404:X405"/>
    <mergeCell ref="Y404:Y405"/>
    <mergeCell ref="K404:K405"/>
    <mergeCell ref="L404:L405"/>
    <mergeCell ref="M404:M405"/>
    <mergeCell ref="N404:N405"/>
    <mergeCell ref="O404:O405"/>
    <mergeCell ref="P404:P405"/>
    <mergeCell ref="Q404:Q405"/>
    <mergeCell ref="K407:K408"/>
    <mergeCell ref="L407:L408"/>
    <mergeCell ref="M407:M408"/>
    <mergeCell ref="N407:N408"/>
    <mergeCell ref="O407:O408"/>
    <mergeCell ref="P407:P408"/>
    <mergeCell ref="Q407:Q408"/>
    <mergeCell ref="B403:E403"/>
    <mergeCell ref="B404:E405"/>
    <mergeCell ref="F404:F405"/>
    <mergeCell ref="G404:G405"/>
    <mergeCell ref="H404:H405"/>
    <mergeCell ref="I404:I405"/>
    <mergeCell ref="J404:J405"/>
    <mergeCell ref="B406:E406"/>
    <mergeCell ref="B407:E408"/>
    <mergeCell ref="F407:F408"/>
    <mergeCell ref="G407:G408"/>
    <mergeCell ref="H407:H408"/>
    <mergeCell ref="I407:I408"/>
    <mergeCell ref="J407:J408"/>
    <mergeCell ref="R401:R402"/>
    <mergeCell ref="S401:S402"/>
    <mergeCell ref="K401:K402"/>
    <mergeCell ref="L401:L402"/>
    <mergeCell ref="M401:M402"/>
    <mergeCell ref="N401:N402"/>
    <mergeCell ref="O401:O402"/>
    <mergeCell ref="P401:P402"/>
    <mergeCell ref="Q401:Q402"/>
    <mergeCell ref="R404:R405"/>
    <mergeCell ref="S404:S405"/>
    <mergeCell ref="B166:E166"/>
    <mergeCell ref="B167:E168"/>
    <mergeCell ref="F167:F168"/>
    <mergeCell ref="G167:G168"/>
    <mergeCell ref="H167:H168"/>
    <mergeCell ref="I167:I168"/>
    <mergeCell ref="J167:J168"/>
    <mergeCell ref="T164:T165"/>
    <mergeCell ref="T167:T168"/>
    <mergeCell ref="U167:U168"/>
    <mergeCell ref="V167:V168"/>
    <mergeCell ref="W167:W168"/>
    <mergeCell ref="X167:X168"/>
    <mergeCell ref="Y167:Y168"/>
    <mergeCell ref="R164:R165"/>
    <mergeCell ref="S164:S165"/>
    <mergeCell ref="U164:U165"/>
    <mergeCell ref="V164:V165"/>
    <mergeCell ref="W164:W165"/>
    <mergeCell ref="X164:X165"/>
    <mergeCell ref="Y164:Y165"/>
    <mergeCell ref="S167:S168"/>
    <mergeCell ref="K167:K168"/>
    <mergeCell ref="L167:L168"/>
    <mergeCell ref="M167:M168"/>
    <mergeCell ref="N167:N168"/>
    <mergeCell ref="O167:O168"/>
    <mergeCell ref="P167:P168"/>
    <mergeCell ref="Q167:Q168"/>
    <mergeCell ref="T161:T162"/>
    <mergeCell ref="U161:U162"/>
    <mergeCell ref="V161:V162"/>
    <mergeCell ref="W161:W162"/>
    <mergeCell ref="X161:X162"/>
    <mergeCell ref="Y161:Y162"/>
    <mergeCell ref="K161:K162"/>
    <mergeCell ref="L161:L162"/>
    <mergeCell ref="M161:M162"/>
    <mergeCell ref="N161:N162"/>
    <mergeCell ref="O161:O162"/>
    <mergeCell ref="P161:P162"/>
    <mergeCell ref="Q161:Q162"/>
    <mergeCell ref="K164:K165"/>
    <mergeCell ref="L164:L165"/>
    <mergeCell ref="M164:M165"/>
    <mergeCell ref="N164:N165"/>
    <mergeCell ref="O164:O165"/>
    <mergeCell ref="P164:P165"/>
    <mergeCell ref="Q164:Q165"/>
    <mergeCell ref="B160:E160"/>
    <mergeCell ref="B161:E162"/>
    <mergeCell ref="F161:F162"/>
    <mergeCell ref="G161:G162"/>
    <mergeCell ref="H161:H162"/>
    <mergeCell ref="I161:I162"/>
    <mergeCell ref="J161:J162"/>
    <mergeCell ref="B163:E163"/>
    <mergeCell ref="B164:E165"/>
    <mergeCell ref="F164:F165"/>
    <mergeCell ref="G164:G165"/>
    <mergeCell ref="H164:H165"/>
    <mergeCell ref="I164:I165"/>
    <mergeCell ref="J164:J165"/>
    <mergeCell ref="R158:R159"/>
    <mergeCell ref="S158:S159"/>
    <mergeCell ref="K158:K159"/>
    <mergeCell ref="L158:L159"/>
    <mergeCell ref="M158:M159"/>
    <mergeCell ref="N158:N159"/>
    <mergeCell ref="O158:O159"/>
    <mergeCell ref="P158:P159"/>
    <mergeCell ref="Q158:Q159"/>
    <mergeCell ref="R161:R162"/>
    <mergeCell ref="S161:S162"/>
    <mergeCell ref="B157:E157"/>
    <mergeCell ref="B158:E159"/>
    <mergeCell ref="F158:F159"/>
    <mergeCell ref="G158:G159"/>
    <mergeCell ref="H158:H159"/>
    <mergeCell ref="I158:I159"/>
    <mergeCell ref="J158:J159"/>
    <mergeCell ref="T155:T156"/>
    <mergeCell ref="T158:T159"/>
    <mergeCell ref="U158:U159"/>
    <mergeCell ref="V158:V159"/>
    <mergeCell ref="W158:W159"/>
    <mergeCell ref="X158:X159"/>
    <mergeCell ref="Y158:Y159"/>
    <mergeCell ref="R155:R156"/>
    <mergeCell ref="S155:S156"/>
    <mergeCell ref="U155:U156"/>
    <mergeCell ref="V155:V156"/>
    <mergeCell ref="W155:W156"/>
    <mergeCell ref="X155:X156"/>
    <mergeCell ref="Y155:Y156"/>
    <mergeCell ref="T152:T153"/>
    <mergeCell ref="U152:U153"/>
    <mergeCell ref="V152:V153"/>
    <mergeCell ref="W152:W153"/>
    <mergeCell ref="X152:X153"/>
    <mergeCell ref="Y152:Y153"/>
    <mergeCell ref="K152:K153"/>
    <mergeCell ref="L152:L153"/>
    <mergeCell ref="M152:M153"/>
    <mergeCell ref="N152:N153"/>
    <mergeCell ref="O152:O153"/>
    <mergeCell ref="P152:P153"/>
    <mergeCell ref="Q152:Q153"/>
    <mergeCell ref="K155:K156"/>
    <mergeCell ref="L155:L156"/>
    <mergeCell ref="M155:M156"/>
    <mergeCell ref="N155:N156"/>
    <mergeCell ref="O155:O156"/>
    <mergeCell ref="P155:P156"/>
    <mergeCell ref="Q155:Q156"/>
    <mergeCell ref="B151:E151"/>
    <mergeCell ref="B152:E153"/>
    <mergeCell ref="F152:F153"/>
    <mergeCell ref="G152:G153"/>
    <mergeCell ref="H152:H153"/>
    <mergeCell ref="I152:I153"/>
    <mergeCell ref="J152:J153"/>
    <mergeCell ref="B154:E154"/>
    <mergeCell ref="B155:E156"/>
    <mergeCell ref="F155:F156"/>
    <mergeCell ref="G155:G156"/>
    <mergeCell ref="H155:H156"/>
    <mergeCell ref="I155:I156"/>
    <mergeCell ref="J155:J156"/>
    <mergeCell ref="R149:R150"/>
    <mergeCell ref="S149:S150"/>
    <mergeCell ref="K149:K150"/>
    <mergeCell ref="L149:L150"/>
    <mergeCell ref="M149:M150"/>
    <mergeCell ref="N149:N150"/>
    <mergeCell ref="O149:O150"/>
    <mergeCell ref="P149:P150"/>
    <mergeCell ref="Q149:Q150"/>
    <mergeCell ref="R152:R153"/>
    <mergeCell ref="S152:S153"/>
    <mergeCell ref="B148:E148"/>
    <mergeCell ref="B149:E150"/>
    <mergeCell ref="F149:F150"/>
    <mergeCell ref="G149:G150"/>
    <mergeCell ref="H149:H150"/>
    <mergeCell ref="I149:I150"/>
    <mergeCell ref="J149:J150"/>
    <mergeCell ref="T146:T147"/>
    <mergeCell ref="T149:T150"/>
    <mergeCell ref="U149:U150"/>
    <mergeCell ref="V149:V150"/>
    <mergeCell ref="W149:W150"/>
    <mergeCell ref="X149:X150"/>
    <mergeCell ref="Y149:Y150"/>
    <mergeCell ref="R146:R147"/>
    <mergeCell ref="S146:S147"/>
    <mergeCell ref="U146:U147"/>
    <mergeCell ref="V146:V147"/>
    <mergeCell ref="W146:W147"/>
    <mergeCell ref="X146:X147"/>
    <mergeCell ref="Y146:Y147"/>
    <mergeCell ref="T143:T144"/>
    <mergeCell ref="U143:U144"/>
    <mergeCell ref="V143:V144"/>
    <mergeCell ref="W143:W144"/>
    <mergeCell ref="X143:X144"/>
    <mergeCell ref="Y143:Y144"/>
    <mergeCell ref="K143:K144"/>
    <mergeCell ref="L143:L144"/>
    <mergeCell ref="M143:M144"/>
    <mergeCell ref="N143:N144"/>
    <mergeCell ref="O143:O144"/>
    <mergeCell ref="P143:P144"/>
    <mergeCell ref="Q143:Q144"/>
    <mergeCell ref="K146:K147"/>
    <mergeCell ref="L146:L147"/>
    <mergeCell ref="M146:M147"/>
    <mergeCell ref="N146:N147"/>
    <mergeCell ref="O146:O147"/>
    <mergeCell ref="P146:P147"/>
    <mergeCell ref="Q146:Q147"/>
    <mergeCell ref="B143:E144"/>
    <mergeCell ref="F143:F144"/>
    <mergeCell ref="G143:G144"/>
    <mergeCell ref="H143:H144"/>
    <mergeCell ref="I143:I144"/>
    <mergeCell ref="J143:J144"/>
    <mergeCell ref="B145:E145"/>
    <mergeCell ref="B146:E147"/>
    <mergeCell ref="F146:F147"/>
    <mergeCell ref="G146:G147"/>
    <mergeCell ref="H146:H147"/>
    <mergeCell ref="I146:I147"/>
    <mergeCell ref="J146:J147"/>
    <mergeCell ref="R140:R141"/>
    <mergeCell ref="S140:S141"/>
    <mergeCell ref="K140:K141"/>
    <mergeCell ref="L140:L141"/>
    <mergeCell ref="M140:M141"/>
    <mergeCell ref="N140:N141"/>
    <mergeCell ref="O140:O141"/>
    <mergeCell ref="P140:P141"/>
    <mergeCell ref="Q140:Q141"/>
    <mergeCell ref="R143:R144"/>
    <mergeCell ref="S143:S144"/>
    <mergeCell ref="X137:X138"/>
    <mergeCell ref="Y137:Y138"/>
    <mergeCell ref="K137:K138"/>
    <mergeCell ref="L137:L138"/>
    <mergeCell ref="M137:M138"/>
    <mergeCell ref="N137:N138"/>
    <mergeCell ref="O137:O138"/>
    <mergeCell ref="P137:P138"/>
    <mergeCell ref="Q137:Q138"/>
    <mergeCell ref="B139:E139"/>
    <mergeCell ref="B140:E141"/>
    <mergeCell ref="F140:F141"/>
    <mergeCell ref="G140:G141"/>
    <mergeCell ref="H140:H141"/>
    <mergeCell ref="I140:I141"/>
    <mergeCell ref="J140:J141"/>
    <mergeCell ref="B142:E142"/>
    <mergeCell ref="T140:T141"/>
    <mergeCell ref="U140:U141"/>
    <mergeCell ref="V140:V141"/>
    <mergeCell ref="W140:W141"/>
    <mergeCell ref="X140:X141"/>
    <mergeCell ref="Y140:Y141"/>
    <mergeCell ref="K131:K132"/>
    <mergeCell ref="M131:M132"/>
    <mergeCell ref="N131:N132"/>
    <mergeCell ref="O131:O132"/>
    <mergeCell ref="P131:P132"/>
    <mergeCell ref="Q131:Q132"/>
    <mergeCell ref="R131:R132"/>
    <mergeCell ref="R134:R135"/>
    <mergeCell ref="S134:S135"/>
    <mergeCell ref="T134:T135"/>
    <mergeCell ref="U134:U135"/>
    <mergeCell ref="V134:V135"/>
    <mergeCell ref="W134:W135"/>
    <mergeCell ref="X134:X135"/>
    <mergeCell ref="Y134:Y135"/>
    <mergeCell ref="K134:K135"/>
    <mergeCell ref="L134:L135"/>
    <mergeCell ref="M134:M135"/>
    <mergeCell ref="N134:N135"/>
    <mergeCell ref="O134:O135"/>
    <mergeCell ref="P134:P135"/>
    <mergeCell ref="Q134:Q135"/>
    <mergeCell ref="R137:R138"/>
    <mergeCell ref="S137:S138"/>
    <mergeCell ref="T137:T138"/>
    <mergeCell ref="U137:U138"/>
    <mergeCell ref="V131:V132"/>
    <mergeCell ref="W131:W132"/>
    <mergeCell ref="B133:E133"/>
    <mergeCell ref="B134:E135"/>
    <mergeCell ref="F134:F135"/>
    <mergeCell ref="G134:G135"/>
    <mergeCell ref="H134:H135"/>
    <mergeCell ref="I134:I135"/>
    <mergeCell ref="J134:J135"/>
    <mergeCell ref="B136:E136"/>
    <mergeCell ref="B137:E138"/>
    <mergeCell ref="F137:F138"/>
    <mergeCell ref="G137:G138"/>
    <mergeCell ref="H137:H138"/>
    <mergeCell ref="I137:I138"/>
    <mergeCell ref="J137:J138"/>
    <mergeCell ref="S131:S132"/>
    <mergeCell ref="T131:T132"/>
    <mergeCell ref="V137:V138"/>
    <mergeCell ref="W137:W138"/>
    <mergeCell ref="P125:P126"/>
    <mergeCell ref="Q125:Q126"/>
    <mergeCell ref="R125:R126"/>
    <mergeCell ref="S125:S126"/>
    <mergeCell ref="M128:M129"/>
    <mergeCell ref="N128:N129"/>
    <mergeCell ref="O128:O129"/>
    <mergeCell ref="P128:P129"/>
    <mergeCell ref="Q128:Q129"/>
    <mergeCell ref="R128:R129"/>
    <mergeCell ref="S128:S129"/>
    <mergeCell ref="B130:E130"/>
    <mergeCell ref="B131:E132"/>
    <mergeCell ref="F131:F132"/>
    <mergeCell ref="G131:G132"/>
    <mergeCell ref="H131:H132"/>
    <mergeCell ref="I131:I132"/>
    <mergeCell ref="J131:J132"/>
    <mergeCell ref="B124:E124"/>
    <mergeCell ref="B125:E126"/>
    <mergeCell ref="F125:F126"/>
    <mergeCell ref="G125:G126"/>
    <mergeCell ref="I125:I126"/>
    <mergeCell ref="J125:J126"/>
    <mergeCell ref="K125:K126"/>
    <mergeCell ref="B127:E127"/>
    <mergeCell ref="B128:E129"/>
    <mergeCell ref="F128:F129"/>
    <mergeCell ref="G128:G129"/>
    <mergeCell ref="I128:I129"/>
    <mergeCell ref="J128:J129"/>
    <mergeCell ref="K128:K129"/>
    <mergeCell ref="X131:X132"/>
    <mergeCell ref="Y131:Y132"/>
    <mergeCell ref="T128:T129"/>
    <mergeCell ref="U128:U129"/>
    <mergeCell ref="V128:V129"/>
    <mergeCell ref="W128:W129"/>
    <mergeCell ref="X128:X129"/>
    <mergeCell ref="Y128:Y129"/>
    <mergeCell ref="U131:U132"/>
    <mergeCell ref="T125:T126"/>
    <mergeCell ref="U125:U126"/>
    <mergeCell ref="V125:V126"/>
    <mergeCell ref="W125:W126"/>
    <mergeCell ref="X125:X126"/>
    <mergeCell ref="Y125:Y126"/>
    <mergeCell ref="M125:M126"/>
    <mergeCell ref="N125:N126"/>
    <mergeCell ref="O125:O126"/>
    <mergeCell ref="B121:E121"/>
    <mergeCell ref="B122:E123"/>
    <mergeCell ref="F122:F123"/>
    <mergeCell ref="G122:G123"/>
    <mergeCell ref="I122:I123"/>
    <mergeCell ref="J122:J123"/>
    <mergeCell ref="K122:K123"/>
    <mergeCell ref="V119:V120"/>
    <mergeCell ref="V122:V123"/>
    <mergeCell ref="W122:W123"/>
    <mergeCell ref="X122:X123"/>
    <mergeCell ref="Y122:Y123"/>
    <mergeCell ref="R119:R120"/>
    <mergeCell ref="S119:S120"/>
    <mergeCell ref="T119:T120"/>
    <mergeCell ref="U119:U120"/>
    <mergeCell ref="W119:W120"/>
    <mergeCell ref="X119:X120"/>
    <mergeCell ref="Y119:Y120"/>
    <mergeCell ref="T122:T123"/>
    <mergeCell ref="U122:U123"/>
    <mergeCell ref="M122:M123"/>
    <mergeCell ref="N122:N123"/>
    <mergeCell ref="O122:O123"/>
    <mergeCell ref="P122:P123"/>
    <mergeCell ref="Q122:Q123"/>
    <mergeCell ref="R122:R123"/>
    <mergeCell ref="S122:S123"/>
    <mergeCell ref="V116:V117"/>
    <mergeCell ref="W116:W117"/>
    <mergeCell ref="X116:X117"/>
    <mergeCell ref="Y116:Y117"/>
    <mergeCell ref="K116:K117"/>
    <mergeCell ref="L116:L117"/>
    <mergeCell ref="M116:M117"/>
    <mergeCell ref="N116:N117"/>
    <mergeCell ref="O116:O117"/>
    <mergeCell ref="Q116:Q117"/>
    <mergeCell ref="R116:R117"/>
    <mergeCell ref="K119:K120"/>
    <mergeCell ref="L119:L120"/>
    <mergeCell ref="M119:M120"/>
    <mergeCell ref="N119:N120"/>
    <mergeCell ref="O119:O120"/>
    <mergeCell ref="P119:P120"/>
    <mergeCell ref="Q119:Q120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K176:K177"/>
    <mergeCell ref="L176:L177"/>
    <mergeCell ref="M176:M177"/>
    <mergeCell ref="N176:N177"/>
    <mergeCell ref="O176:O177"/>
    <mergeCell ref="P176:P177"/>
    <mergeCell ref="Q176:Q177"/>
    <mergeCell ref="B115:E115"/>
    <mergeCell ref="B116:E117"/>
    <mergeCell ref="F116:F117"/>
    <mergeCell ref="G116:G117"/>
    <mergeCell ref="H116:H117"/>
    <mergeCell ref="I116:I117"/>
    <mergeCell ref="J116:J117"/>
    <mergeCell ref="B118:E118"/>
    <mergeCell ref="B119:E120"/>
    <mergeCell ref="F119:F120"/>
    <mergeCell ref="G119:G120"/>
    <mergeCell ref="H119:H120"/>
    <mergeCell ref="I119:I120"/>
    <mergeCell ref="J119:J120"/>
    <mergeCell ref="S116:S117"/>
    <mergeCell ref="T116:T117"/>
    <mergeCell ref="U116:U117"/>
    <mergeCell ref="R101:R102"/>
    <mergeCell ref="S101:S102"/>
    <mergeCell ref="K101:K102"/>
    <mergeCell ref="L101:L102"/>
    <mergeCell ref="M101:M102"/>
    <mergeCell ref="N101:N102"/>
    <mergeCell ref="O101:O102"/>
    <mergeCell ref="P101:P102"/>
    <mergeCell ref="Q101:Q102"/>
    <mergeCell ref="T104:T105"/>
    <mergeCell ref="U104:U105"/>
    <mergeCell ref="M104:M105"/>
    <mergeCell ref="N104:N105"/>
    <mergeCell ref="O104:O105"/>
    <mergeCell ref="P104:P105"/>
    <mergeCell ref="Q104:Q105"/>
    <mergeCell ref="R104:R105"/>
    <mergeCell ref="S104:S105"/>
    <mergeCell ref="T92:T93"/>
    <mergeCell ref="U92:U93"/>
    <mergeCell ref="V92:V93"/>
    <mergeCell ref="W92:W93"/>
    <mergeCell ref="X92:X93"/>
    <mergeCell ref="Y92:Y93"/>
    <mergeCell ref="M92:M93"/>
    <mergeCell ref="N92:N93"/>
    <mergeCell ref="O92:O93"/>
    <mergeCell ref="P92:P93"/>
    <mergeCell ref="Q92:Q93"/>
    <mergeCell ref="R92:R93"/>
    <mergeCell ref="S92:S93"/>
    <mergeCell ref="B91:E91"/>
    <mergeCell ref="B92:E93"/>
    <mergeCell ref="F92:F93"/>
    <mergeCell ref="G92:G93"/>
    <mergeCell ref="I92:I93"/>
    <mergeCell ref="J92:J93"/>
    <mergeCell ref="K92:K93"/>
    <mergeCell ref="B85:E85"/>
    <mergeCell ref="B86:E87"/>
    <mergeCell ref="F86:F87"/>
    <mergeCell ref="G86:G87"/>
    <mergeCell ref="H86:H87"/>
    <mergeCell ref="I86:I87"/>
    <mergeCell ref="J86:J87"/>
    <mergeCell ref="R89:R90"/>
    <mergeCell ref="S89:S90"/>
    <mergeCell ref="T89:T90"/>
    <mergeCell ref="U89:U90"/>
    <mergeCell ref="V89:V90"/>
    <mergeCell ref="W89:W90"/>
    <mergeCell ref="X89:X90"/>
    <mergeCell ref="Y89:Y90"/>
    <mergeCell ref="K89:K90"/>
    <mergeCell ref="L89:L90"/>
    <mergeCell ref="M89:M90"/>
    <mergeCell ref="N89:N90"/>
    <mergeCell ref="O89:O90"/>
    <mergeCell ref="P89:P90"/>
    <mergeCell ref="Q89:Q90"/>
    <mergeCell ref="B88:E88"/>
    <mergeCell ref="B89:E90"/>
    <mergeCell ref="F89:F90"/>
    <mergeCell ref="G89:G90"/>
    <mergeCell ref="H89:H90"/>
    <mergeCell ref="I89:I90"/>
    <mergeCell ref="J89:J90"/>
    <mergeCell ref="U80:U81"/>
    <mergeCell ref="V80:V81"/>
    <mergeCell ref="W80:W81"/>
    <mergeCell ref="X80:X81"/>
    <mergeCell ref="Y80:Y81"/>
    <mergeCell ref="T86:T87"/>
    <mergeCell ref="U86:U87"/>
    <mergeCell ref="V86:V87"/>
    <mergeCell ref="W86:W87"/>
    <mergeCell ref="X86:X87"/>
    <mergeCell ref="Y86:Y87"/>
    <mergeCell ref="T80:T81"/>
    <mergeCell ref="T83:T84"/>
    <mergeCell ref="U83:U84"/>
    <mergeCell ref="V83:V84"/>
    <mergeCell ref="W83:W84"/>
    <mergeCell ref="X83:X84"/>
    <mergeCell ref="Y83:Y84"/>
    <mergeCell ref="R77:R78"/>
    <mergeCell ref="S77:S78"/>
    <mergeCell ref="T77:T78"/>
    <mergeCell ref="U77:U78"/>
    <mergeCell ref="V77:V78"/>
    <mergeCell ref="W77:W78"/>
    <mergeCell ref="X77:X78"/>
    <mergeCell ref="Y77:Y78"/>
    <mergeCell ref="K77:K78"/>
    <mergeCell ref="L77:L78"/>
    <mergeCell ref="M77:M78"/>
    <mergeCell ref="N77:N78"/>
    <mergeCell ref="O77:O78"/>
    <mergeCell ref="P77:P78"/>
    <mergeCell ref="Q77:Q78"/>
    <mergeCell ref="B76:E76"/>
    <mergeCell ref="B77:E78"/>
    <mergeCell ref="F77:F78"/>
    <mergeCell ref="G77:G78"/>
    <mergeCell ref="H77:H78"/>
    <mergeCell ref="I77:I78"/>
    <mergeCell ref="J77:J78"/>
    <mergeCell ref="B79:E79"/>
    <mergeCell ref="B80:E81"/>
    <mergeCell ref="F80:F81"/>
    <mergeCell ref="G80:G81"/>
    <mergeCell ref="H80:H81"/>
    <mergeCell ref="I80:I81"/>
    <mergeCell ref="J80:J81"/>
    <mergeCell ref="B82:E82"/>
    <mergeCell ref="B83:E84"/>
    <mergeCell ref="F83:F84"/>
    <mergeCell ref="G83:G84"/>
    <mergeCell ref="H83:H84"/>
    <mergeCell ref="I83:I84"/>
    <mergeCell ref="J83:J84"/>
    <mergeCell ref="R86:R87"/>
    <mergeCell ref="S86:S87"/>
    <mergeCell ref="K86:K87"/>
    <mergeCell ref="L86:L87"/>
    <mergeCell ref="M86:M87"/>
    <mergeCell ref="N86:N87"/>
    <mergeCell ref="O86:O87"/>
    <mergeCell ref="P86:P87"/>
    <mergeCell ref="Q86:Q87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S110:S111"/>
    <mergeCell ref="T110:T111"/>
    <mergeCell ref="U110:U111"/>
    <mergeCell ref="V110:V111"/>
    <mergeCell ref="W110:W111"/>
    <mergeCell ref="X110:X111"/>
    <mergeCell ref="Y110:Y111"/>
    <mergeCell ref="L110:L111"/>
    <mergeCell ref="M110:M111"/>
    <mergeCell ref="N110:N111"/>
    <mergeCell ref="O110:O111"/>
    <mergeCell ref="P110:P111"/>
    <mergeCell ref="Q110:Q111"/>
    <mergeCell ref="R110:R111"/>
    <mergeCell ref="J113:J114"/>
    <mergeCell ref="K113:K114"/>
    <mergeCell ref="L113:L114"/>
    <mergeCell ref="M113:M114"/>
    <mergeCell ref="N113:N114"/>
    <mergeCell ref="O113:O114"/>
    <mergeCell ref="P113:P114"/>
    <mergeCell ref="X113:X114"/>
    <mergeCell ref="Y113:Y114"/>
    <mergeCell ref="Q113:Q114"/>
    <mergeCell ref="R113:R114"/>
    <mergeCell ref="S113:S114"/>
    <mergeCell ref="T113:T114"/>
    <mergeCell ref="U113:U114"/>
    <mergeCell ref="V113:V114"/>
    <mergeCell ref="W113:W114"/>
    <mergeCell ref="S107:S108"/>
    <mergeCell ref="T107:T108"/>
    <mergeCell ref="U107:U108"/>
    <mergeCell ref="V107:V108"/>
    <mergeCell ref="W107:W108"/>
    <mergeCell ref="X107:X108"/>
    <mergeCell ref="Y107:Y108"/>
    <mergeCell ref="K107:K108"/>
    <mergeCell ref="L107:L108"/>
    <mergeCell ref="M107:M108"/>
    <mergeCell ref="N107:N108"/>
    <mergeCell ref="O107:O108"/>
    <mergeCell ref="Q107:Q108"/>
    <mergeCell ref="R107:R108"/>
    <mergeCell ref="B106:E106"/>
    <mergeCell ref="B107:E108"/>
    <mergeCell ref="F107:F108"/>
    <mergeCell ref="G107:G108"/>
    <mergeCell ref="H107:H108"/>
    <mergeCell ref="I107:I108"/>
    <mergeCell ref="J107:J108"/>
    <mergeCell ref="B109:E109"/>
    <mergeCell ref="F110:F111"/>
    <mergeCell ref="G110:G111"/>
    <mergeCell ref="I110:I111"/>
    <mergeCell ref="J110:J111"/>
    <mergeCell ref="K110:K111"/>
    <mergeCell ref="H111:H112"/>
    <mergeCell ref="B110:E111"/>
    <mergeCell ref="B112:E112"/>
    <mergeCell ref="B113:E114"/>
    <mergeCell ref="F113:F114"/>
    <mergeCell ref="G113:G114"/>
    <mergeCell ref="H113:H114"/>
    <mergeCell ref="I113:I114"/>
    <mergeCell ref="B103:E103"/>
    <mergeCell ref="B104:E105"/>
    <mergeCell ref="F104:F105"/>
    <mergeCell ref="G104:G105"/>
    <mergeCell ref="I104:I105"/>
    <mergeCell ref="J104:J105"/>
    <mergeCell ref="K104:K105"/>
  </mergeCells>
  <conditionalFormatting sqref="M32:S33">
    <cfRule type="cellIs" dxfId="47" priority="1" operator="equal">
      <formula>"X"</formula>
    </cfRule>
    <cfRule type="cellIs" dxfId="46" priority="2" operator="equal">
      <formula>"P"</formula>
    </cfRule>
    <cfRule type="cellIs" dxfId="45" priority="3" operator="equal">
      <formula>"V"</formula>
    </cfRule>
    <cfRule type="cellIs" dxfId="44" priority="4" operator="equal">
      <formula>"H"</formula>
    </cfRule>
    <cfRule type="cellIs" dxfId="43" priority="5" operator="equal">
      <formula>"✔"</formula>
    </cfRule>
    <cfRule type="cellIs" dxfId="42" priority="6" operator="equal">
      <formula>"S"</formula>
    </cfRule>
  </conditionalFormatting>
  <conditionalFormatting sqref="O8 S8 W8 F8:G9 I8:J9 N8:N9 Q8:R9 U8:V9 Y8:Y9 H9 L9:M9 P9 T9 F11:G12 I11:J12 L11:Y12 H12 F14:G15 I14:Y15 H15 F17:G18 I17:Y18 H18 F20:G21 I20:K21 M20:O21 Q20:S21 U20:W21 Y20:Y21 H21 L21 P21 T21 F23:Y24 F26:G27 I26:K27 M26:O27 Q26:S27 U26:W27 Y26:Y27 H27 L27 P27 T27 F29:Y30 F32:G33 I32:K33 U32:W33 Y32:Y33 H33 L33 T33 F35:Y36 F38:G39 I38:Y39 H39 F41:Y42 F44:G45 I44:K45 M44:O45 Q44:S45 U44:W45 Y44:Y45 H45 L45 P45 T45 F47:K48 M47:Y48 L48 H50:H51 L50:L51 P50:P51 F50:G53 I50:K53 M50:O53 Q50:S53 U50:W53 Y50:Y53 T51 H53 L53 P53 T53 F55:G56 I55:K56 M55:O56 Q55:S56 U55:W56 Y55:Y56 H56 L56 P56 T56 F58:G59 I58:K59 M58:O59 Q58:S59 U58:W59 Y58:Y59 H59 L59 P59 T59 X59 K61:K62 M61:Y62 H61:H63 F61:G65 I61:J65 L61:L65 K64:K65 M64:Y65 H65 F67:Y68 M70:O71 Q70:S71 U70:Y71 F70:L72 T71 F74:Y75 F77:G78 I77:K78 M77:O78 Q77:S78 U77:W78 Y77:Y78 H78 L78 T78 F80:G81 I80:O81 Q80:S81 U80:Y81 H81 P81 T81 F83:Y84 F86:O87 Q86:Y87 P87 M89:O90 Q89:S90 U89:Y90 F89:G93 I89:K93 P90 T90 H90:H93 L90:L93 M92:O93 Q92:S93 U92:W93 Y92:Y93 T93 F95:G96 I95:K96 M95:O96 Q95:S96 U95:W96 Y95:Y96 H96 L96 T96 F98:G99 I98:K99 M98:O99 Q98:S99 U98:W99 Y98:Y99 H99 L99 T99 F101:G102 I101:K102 M101:O102 Q101:W102 Y101:Y102 H102 L102 P102 X102 F104:O105 Q104:S105 U104:W105 Y104:Y105 T105 F107:K108 M107:Y108 L108 F110:G111 I110:K111 M110:O111 Q110:S111 U110:W111 Y110:Y111 L111 T111 K113:K114 M113:Y114 H113:H115 L113:L115 F113:G120 I113:J120 K116:K117 M116:S117 U116:W117 Y116:Y117 T117 L117:L118 H117:H120 K119:K120 M119:O120 Q119:S120 U119:W120 Y119:Y120 L120 P120 T120 K122:K123 M122:O123 Q122:S123 U122:W123 Y122:Y123 F122:J126 P123 T123 L123:L124 K125:K126 M125:O126 Q125:S126 U125:Y126 L126 P126 T126 F128:K129 M128:O129 Q128:S129 U128:W129 Y128:Y129 L129 P129 T129 F131:G132 I131:K132 M131:O132 Q131:S132 U131:W132 Y131:Y132 H132 L132 P132 T132 F134:Y135 F137:Y138 F140:Y141 F143:Y144 F146:Y147 F149:Y150 F152:Y153 F155:Y156 F158:K159 M158:Y159 L159 F161:O162 Q161:Y162 F164:Y165 F167:Y168 F170:Y171 F173:Y174 F176:Y177 F179:Y180 F182:Y183 F185:Y186 F188:K189 M188:O189 Q188:Y189 L189 P189 F191:Y192 F194:Y195 F197:Y198 F200:Y201 F203:Y204 F206:Y207 F209:Y210 F212:Y213 F215:Y216 F218:Y219 F221:Y222 F224:Y225 F227:Y228 F230:Y231 F233:Y234 F236:Y237 F239:Y240 F242:Y243 F245:Y246 F248:Y249 F251:Y252 F254:Y255 F257:Y258 F260:O261 Q260:Y261 P261 F263:Y264 F266:Y267 F269:Y270 F272:Y273 F275:Y276 F278:Y279 F281:O282 Q281:Y282 P282 F284:Y285 F287:Y288 F290:Y291 F293:Y294 F296:Y297 F299:Y300 F302:K303 M302:O303 Q302:Y303 L303 P303 F305:Y306 F308:K309 M308:O309 Q308:Y309 L309 P309 F311:Y312 F314:Y315 F317:Y318 F320:Y321 F323:K324 M323:O324 Q323:Y324 L324 P324 F326:Y327 F329:Y330 F332:Y333 F335:Y336 F338:Y339 F341:L342 N341:S342 U341:W342 Y341:Y342 M342 T342 F344:K345 N344:Y345 L345:M345 F347:Y348 F350:S351 U350:W351 Y350:Y351 T351 X351 F353:Y354 F356:Y357 F359:Y360 F362:Y363 F365:Y366 F368:G369 I368:Y369 H369 F371:Y372 F374:G375 I374:Y375 H375 F377:Y378 F380:Y381 F383:Y384 F386:Y387 F389:Y390 F392:S393 U392:W393 Y392:Y393 T393 F395:S396 U395:W396 Y395:Y396 T396 F398:Y399 F401:S402 U401:W402 Y401:Y402 T402 F404:S405 U404:W405 Y404:Y405 T405 F407:S408 U407:W408 Y407:Y408 T408 F410:Y411 F413:Y414 F416:Y417 F419:Y420 F422:S423 U422:W423 Y422:Y423 T423 F425:Y426 F428:Y429 F431:Y432 F434:Y435 F437:Y438 F440:Y441 F443:Y444 F446:S447 U446:W447 Y446:Y447 T447 F449:S450 U449:W450 Y449:Y450 T450 F452:Y453 F455:Y456 F458:Y459 F461:Y462 F464:Y465 F467:Y468 F470:Y471 F473:Y474 F476:Y477 F479:Y480 F482:Y483 F485:Y486 F488:Y489 F491:Y492 F494:Y495 F497:Y498 F500:Y501 F503:Y504 F506:Y507 F509:Y510 F512:Y513 F515:O516 Q515:S516 U515:W516 Y515:Y516 P516 T516 X516 F518:Y519 F521:Y522 F524:Y525 F527:O528 Q527:S528 U527:W528 Y527:Y528 P528 T528 F530:S531 U530:W531 Y530:Y531 T531 F533:Y534 F536:Y537 F539:Y540 F542:Y543 F545:G546 I545:K546 M545:Y546 H546 L546 F548:Y549 F551:G552 I551:Y552 H552 F554:Y555 F557:G558 I557:Y558 H558 F560:Y561 F563:Y564 F566:Y567 F569:Y570 F572:Y573 F575:K576 M575:O576 Q575:Y576 L576 P576 F578:K579 M578:O579 Q578:Y579 L579 P579 F581:Y582 F584:Y585 F587:Y588 F590:K591 M590:O591 Q590:Y591 L591 F593:Y594 F596:Y597 F599:Y600 F602:Y603 F614:O615 Q614:Y615 F617:K618 M617:O618 Q617:Y618 L618 F620:K621 M620:O621 Q620:Y621 L621 F623:O624 Q623:Y624 F626:K627 M626:O627 Q626:Y627 L627 F629:O630 Q629:Y630 F632:O633 Q632:Y633 F635:O636 Q635:Y636 F638:O639 Q638:S639 U638:W639 Y638:Y639 T639 X639 F641:O642 Q641:W642 Y641:Y642 X642 F644:O645 Q644:Y645 F647:O648 Q647:Y648 F650:O651 Q650:Y651 F653:O654 Q653:Y654 F656:O657 Q656:Y657 F659:O660 Q659:S660 U659:W660 Y659:Y660 T660 X660 F662:O663 Q662:Y663 F665:O666 Q665:Y666 F668:G669 I668:K669 M668:O669 Q668:Y669 H669 L669 F671:K672 M671:O672 Q671:Y672 L672 F674:K675 M674:O675 Q674:Y675 L675 F677:K678 M677:O678 Q677:Y678 L678 F680:K681 M680:O681 Q680:Y681 L681 F683:O684 Q683:Y684 F686:O687 Q686:Y687 F689:O690 Q689:Y690 F692:O693 Q692:Y693 F695:O696 Q695:Y696 F698:O699 Q698:Y699 F701:O702 Q701:S702 U701:W702 Y701:Y702 T702 X702 F704:O709 Q704:S709 U704:W709 Y704:Y709 P705:P706 T705:T706 X705:X706 P709 T709 X709">
    <cfRule type="cellIs" dxfId="41" priority="7" operator="equal">
      <formula>"✔"</formula>
    </cfRule>
    <cfRule type="cellIs" dxfId="40" priority="8" operator="equal">
      <formula>"S"</formula>
    </cfRule>
    <cfRule type="cellIs" dxfId="39" priority="9" operator="equal">
      <formula>"P"</formula>
    </cfRule>
    <cfRule type="cellIs" dxfId="38" priority="10" operator="equal">
      <formula>"V"</formula>
    </cfRule>
    <cfRule type="cellIs" dxfId="37" priority="11" operator="equal">
      <formula>"X"</formula>
    </cfRule>
    <cfRule type="cellIs" dxfId="36" priority="12" operator="equal">
      <formula>"H"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527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249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171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172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226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5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36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16"/>
      <c r="C16" s="24"/>
      <c r="D16" s="24"/>
      <c r="E16" s="25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229</v>
      </c>
      <c r="C17" s="48"/>
      <c r="D17" s="48"/>
      <c r="E17" s="49"/>
      <c r="F17" s="43"/>
      <c r="G17" s="43"/>
      <c r="H17" s="43"/>
      <c r="I17" s="43"/>
      <c r="J17" s="43"/>
      <c r="K17" s="45"/>
      <c r="L17" s="43"/>
      <c r="M17" s="43"/>
      <c r="N17" s="43"/>
      <c r="O17" s="43"/>
      <c r="P17" s="5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44"/>
      <c r="I18" s="44"/>
      <c r="J18" s="44"/>
      <c r="K18" s="36"/>
      <c r="L18" s="44"/>
      <c r="M18" s="44"/>
      <c r="N18" s="44"/>
      <c r="O18" s="44"/>
      <c r="P18" s="36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16"/>
      <c r="C19" s="24"/>
      <c r="D19" s="24"/>
      <c r="E19" s="25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231</v>
      </c>
      <c r="C20" s="48"/>
      <c r="D20" s="48"/>
      <c r="E20" s="49"/>
      <c r="F20" s="43"/>
      <c r="G20" s="43"/>
      <c r="H20" s="43"/>
      <c r="I20" s="43"/>
      <c r="J20" s="43"/>
      <c r="K20" s="45"/>
      <c r="L20" s="43"/>
      <c r="M20" s="43"/>
      <c r="N20" s="43"/>
      <c r="O20" s="43"/>
      <c r="P20" s="5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44"/>
      <c r="I21" s="44"/>
      <c r="J21" s="44"/>
      <c r="K21" s="36"/>
      <c r="L21" s="44"/>
      <c r="M21" s="44"/>
      <c r="N21" s="44"/>
      <c r="O21" s="44"/>
      <c r="P21" s="36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16"/>
      <c r="C22" s="24"/>
      <c r="D22" s="24"/>
      <c r="E22" s="25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232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5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36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16"/>
      <c r="C25" s="24"/>
      <c r="D25" s="24"/>
      <c r="E25" s="25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47" t="s">
        <v>233</v>
      </c>
      <c r="C26" s="48"/>
      <c r="D26" s="48"/>
      <c r="E26" s="49"/>
      <c r="F26" s="43"/>
      <c r="G26" s="43"/>
      <c r="H26" s="43"/>
      <c r="I26" s="43"/>
      <c r="J26" s="43"/>
      <c r="K26" s="45"/>
      <c r="L26" s="43"/>
      <c r="M26" s="43"/>
      <c r="N26" s="43"/>
      <c r="O26" s="43"/>
      <c r="P26" s="53"/>
      <c r="Q26" s="43"/>
      <c r="R26" s="43"/>
      <c r="S26" s="43"/>
      <c r="T26" s="43"/>
      <c r="U26" s="43"/>
      <c r="V26" s="43"/>
      <c r="W26" s="43"/>
      <c r="X26" s="43"/>
      <c r="Y26" s="43"/>
      <c r="Z26" s="8"/>
      <c r="AA26" s="8"/>
    </row>
    <row r="27" spans="1:27" ht="12.75">
      <c r="A27" s="8"/>
      <c r="B27" s="50"/>
      <c r="C27" s="51"/>
      <c r="D27" s="51"/>
      <c r="E27" s="52"/>
      <c r="F27" s="44"/>
      <c r="G27" s="44"/>
      <c r="H27" s="44"/>
      <c r="I27" s="44"/>
      <c r="J27" s="44"/>
      <c r="K27" s="36"/>
      <c r="L27" s="44"/>
      <c r="M27" s="44"/>
      <c r="N27" s="44"/>
      <c r="O27" s="44"/>
      <c r="P27" s="36"/>
      <c r="Q27" s="44"/>
      <c r="R27" s="44"/>
      <c r="S27" s="44"/>
      <c r="T27" s="44"/>
      <c r="U27" s="44"/>
      <c r="V27" s="44"/>
      <c r="W27" s="44"/>
      <c r="X27" s="44"/>
      <c r="Y27" s="44"/>
      <c r="Z27" s="8"/>
      <c r="AA27" s="8"/>
    </row>
    <row r="28" spans="1:27" ht="15">
      <c r="A28" s="8"/>
      <c r="B28" s="16"/>
      <c r="C28" s="24"/>
      <c r="D28" s="24"/>
      <c r="E28" s="25"/>
      <c r="F28" s="17" t="s">
        <v>17</v>
      </c>
      <c r="G28" s="18">
        <f>COUNTIF(F26:G27,"✔")</f>
        <v>0</v>
      </c>
      <c r="H28" s="17" t="s">
        <v>18</v>
      </c>
      <c r="I28" s="18">
        <f>COUNTIF(H26:I27,"a")</f>
        <v>0</v>
      </c>
      <c r="J28" s="17" t="s">
        <v>17</v>
      </c>
      <c r="K28" s="18">
        <f>COUNTIF(J26:K27,"✔")</f>
        <v>0</v>
      </c>
      <c r="L28" s="17" t="s">
        <v>18</v>
      </c>
      <c r="M28" s="18">
        <f>COUNTIF(L26:M27,"a")</f>
        <v>0</v>
      </c>
      <c r="N28" s="17" t="s">
        <v>17</v>
      </c>
      <c r="O28" s="18">
        <f>COUNTIF(N26:O27,"✔")</f>
        <v>0</v>
      </c>
      <c r="P28" s="17" t="s">
        <v>18</v>
      </c>
      <c r="Q28" s="18">
        <f>COUNTIF(P26:Q27,"a")</f>
        <v>0</v>
      </c>
      <c r="R28" s="17" t="s">
        <v>17</v>
      </c>
      <c r="S28" s="18">
        <f>COUNTIF(R26:S27,"✔")</f>
        <v>0</v>
      </c>
      <c r="T28" s="17" t="s">
        <v>18</v>
      </c>
      <c r="U28" s="18">
        <f>COUNTIF(T26:U27,"a")</f>
        <v>0</v>
      </c>
      <c r="V28" s="17" t="s">
        <v>17</v>
      </c>
      <c r="W28" s="18">
        <f>COUNTIF(V26:W27,"✔")</f>
        <v>0</v>
      </c>
      <c r="X28" s="17" t="s">
        <v>18</v>
      </c>
      <c r="Y28" s="18">
        <f>COUNTIF(X26:Y27,"a")</f>
        <v>0</v>
      </c>
      <c r="Z28" s="8"/>
      <c r="AA28" s="8"/>
    </row>
    <row r="29" spans="1:27" ht="12.75">
      <c r="A29" s="8"/>
      <c r="B29" s="47" t="s">
        <v>234</v>
      </c>
      <c r="C29" s="48"/>
      <c r="D29" s="48"/>
      <c r="E29" s="49"/>
      <c r="F29" s="43"/>
      <c r="G29" s="43"/>
      <c r="H29" s="53"/>
      <c r="I29" s="43"/>
      <c r="J29" s="43"/>
      <c r="K29" s="45"/>
      <c r="L29" s="53"/>
      <c r="M29" s="43"/>
      <c r="N29" s="43"/>
      <c r="O29" s="43"/>
      <c r="P29" s="53"/>
      <c r="Q29" s="43"/>
      <c r="R29" s="43"/>
      <c r="S29" s="43"/>
      <c r="T29" s="43"/>
      <c r="U29" s="43"/>
      <c r="V29" s="43"/>
      <c r="W29" s="43"/>
      <c r="X29" s="43"/>
      <c r="Y29" s="43"/>
      <c r="Z29" s="8"/>
      <c r="AA29" s="8"/>
    </row>
    <row r="30" spans="1:27" ht="12.75">
      <c r="A30" s="8"/>
      <c r="B30" s="50"/>
      <c r="C30" s="51"/>
      <c r="D30" s="51"/>
      <c r="E30" s="52"/>
      <c r="F30" s="44"/>
      <c r="G30" s="44"/>
      <c r="H30" s="36"/>
      <c r="I30" s="44"/>
      <c r="J30" s="44"/>
      <c r="K30" s="36"/>
      <c r="L30" s="36"/>
      <c r="M30" s="44"/>
      <c r="N30" s="44"/>
      <c r="O30" s="44"/>
      <c r="P30" s="36"/>
      <c r="Q30" s="44"/>
      <c r="R30" s="44"/>
      <c r="S30" s="44"/>
      <c r="T30" s="44"/>
      <c r="U30" s="44"/>
      <c r="V30" s="44"/>
      <c r="W30" s="44"/>
      <c r="X30" s="44"/>
      <c r="Y30" s="44"/>
      <c r="Z30" s="8"/>
      <c r="AA30" s="8"/>
    </row>
    <row r="31" spans="1:27" ht="15">
      <c r="A31" s="8"/>
      <c r="B31" s="40"/>
      <c r="C31" s="41"/>
      <c r="D31" s="41"/>
      <c r="E31" s="42"/>
      <c r="F31" s="17" t="s">
        <v>17</v>
      </c>
      <c r="G31" s="18">
        <f>COUNTIF(F29:G30,"✔")</f>
        <v>0</v>
      </c>
      <c r="H31" s="17" t="s">
        <v>18</v>
      </c>
      <c r="I31" s="18">
        <f>COUNTIF(H29:I30,"a")</f>
        <v>0</v>
      </c>
      <c r="J31" s="17" t="s">
        <v>17</v>
      </c>
      <c r="K31" s="18">
        <f>COUNTIF(J29:K30,"✔")</f>
        <v>0</v>
      </c>
      <c r="L31" s="17" t="s">
        <v>18</v>
      </c>
      <c r="M31" s="18">
        <f>COUNTIF(L29:M30,"a")</f>
        <v>0</v>
      </c>
      <c r="N31" s="17" t="s">
        <v>17</v>
      </c>
      <c r="O31" s="18">
        <f>COUNTIF(N29:O30,"✔")</f>
        <v>0</v>
      </c>
      <c r="P31" s="17" t="s">
        <v>18</v>
      </c>
      <c r="Q31" s="18">
        <f>COUNTIF(P29:Q30,"a")</f>
        <v>0</v>
      </c>
      <c r="R31" s="17" t="s">
        <v>17</v>
      </c>
      <c r="S31" s="18">
        <f>COUNTIF(R29:S30,"✔")</f>
        <v>0</v>
      </c>
      <c r="T31" s="17" t="s">
        <v>18</v>
      </c>
      <c r="U31" s="18">
        <f>COUNTIF(T29:U30,"a")</f>
        <v>0</v>
      </c>
      <c r="V31" s="17" t="s">
        <v>17</v>
      </c>
      <c r="W31" s="18">
        <f>COUNTIF(V29:W30,"✔")</f>
        <v>0</v>
      </c>
      <c r="X31" s="17" t="s">
        <v>18</v>
      </c>
      <c r="Y31" s="18">
        <f>COUNTIF(X29:Y30,"a")</f>
        <v>0</v>
      </c>
      <c r="Z31" s="8"/>
      <c r="AA31" s="8"/>
    </row>
    <row r="32" spans="1:27" ht="12.75">
      <c r="A32" s="8"/>
      <c r="B32" s="47" t="s">
        <v>240</v>
      </c>
      <c r="C32" s="48"/>
      <c r="D32" s="48"/>
      <c r="E32" s="49"/>
      <c r="F32" s="43"/>
      <c r="G32" s="43"/>
      <c r="H32" s="43"/>
      <c r="I32" s="43"/>
      <c r="J32" s="43"/>
      <c r="K32" s="45"/>
      <c r="L32" s="43"/>
      <c r="M32" s="43"/>
      <c r="N32" s="43"/>
      <c r="O32" s="43"/>
      <c r="P32" s="53"/>
      <c r="Q32" s="43"/>
      <c r="R32" s="43"/>
      <c r="S32" s="43"/>
      <c r="T32" s="43"/>
      <c r="U32" s="43"/>
      <c r="V32" s="43"/>
      <c r="W32" s="43"/>
      <c r="X32" s="43"/>
      <c r="Y32" s="43"/>
      <c r="Z32" s="8"/>
      <c r="AA32" s="8"/>
    </row>
    <row r="33" spans="1:27" ht="12.75">
      <c r="A33" s="8"/>
      <c r="B33" s="50"/>
      <c r="C33" s="51"/>
      <c r="D33" s="51"/>
      <c r="E33" s="52"/>
      <c r="F33" s="44"/>
      <c r="G33" s="44"/>
      <c r="H33" s="44"/>
      <c r="I33" s="44"/>
      <c r="J33" s="44"/>
      <c r="K33" s="36"/>
      <c r="L33" s="44"/>
      <c r="M33" s="44"/>
      <c r="N33" s="44"/>
      <c r="O33" s="44"/>
      <c r="P33" s="36"/>
      <c r="Q33" s="44"/>
      <c r="R33" s="44"/>
      <c r="S33" s="44"/>
      <c r="T33" s="44"/>
      <c r="U33" s="44"/>
      <c r="V33" s="44"/>
      <c r="W33" s="44"/>
      <c r="X33" s="44"/>
      <c r="Y33" s="44"/>
      <c r="Z33" s="8"/>
      <c r="AA33" s="8"/>
    </row>
    <row r="34" spans="1:27" ht="15">
      <c r="A34" s="8"/>
      <c r="B34" s="40"/>
      <c r="C34" s="41"/>
      <c r="D34" s="41"/>
      <c r="E34" s="42"/>
      <c r="F34" s="17" t="s">
        <v>17</v>
      </c>
      <c r="G34" s="18">
        <f>COUNTIF(F32:G33,"✔")</f>
        <v>0</v>
      </c>
      <c r="H34" s="17" t="s">
        <v>18</v>
      </c>
      <c r="I34" s="18">
        <f>COUNTIF(H32:I33,"a")</f>
        <v>0</v>
      </c>
      <c r="J34" s="17" t="s">
        <v>17</v>
      </c>
      <c r="K34" s="18">
        <f>COUNTIF(J32:K33,"✔")</f>
        <v>0</v>
      </c>
      <c r="L34" s="17" t="s">
        <v>18</v>
      </c>
      <c r="M34" s="18">
        <f>COUNTIF(L32:M33,"a")</f>
        <v>0</v>
      </c>
      <c r="N34" s="17" t="s">
        <v>17</v>
      </c>
      <c r="O34" s="18">
        <f>COUNTIF(N32:O33,"✔")</f>
        <v>0</v>
      </c>
      <c r="P34" s="17" t="s">
        <v>18</v>
      </c>
      <c r="Q34" s="18">
        <f>COUNTIF(P32:Q33,"a")</f>
        <v>0</v>
      </c>
      <c r="R34" s="17" t="s">
        <v>17</v>
      </c>
      <c r="S34" s="18">
        <f>COUNTIF(R32:S33,"✔")</f>
        <v>0</v>
      </c>
      <c r="T34" s="17" t="s">
        <v>18</v>
      </c>
      <c r="U34" s="18">
        <f>COUNTIF(T32:U33,"a")</f>
        <v>0</v>
      </c>
      <c r="V34" s="17" t="s">
        <v>17</v>
      </c>
      <c r="W34" s="18">
        <f>COUNTIF(V32:W33,"✔")</f>
        <v>0</v>
      </c>
      <c r="X34" s="17" t="s">
        <v>18</v>
      </c>
      <c r="Y34" s="18">
        <f>COUNTIF(X32:Y33,"a")</f>
        <v>0</v>
      </c>
      <c r="Z34" s="8"/>
      <c r="AA34" s="8"/>
    </row>
    <row r="35" spans="1:27" ht="12.75">
      <c r="A35" s="8"/>
      <c r="B35" s="47" t="s">
        <v>241</v>
      </c>
      <c r="C35" s="48"/>
      <c r="D35" s="48"/>
      <c r="E35" s="49"/>
      <c r="F35" s="43"/>
      <c r="G35" s="43"/>
      <c r="H35" s="43"/>
      <c r="I35" s="43"/>
      <c r="J35" s="43"/>
      <c r="K35" s="45"/>
      <c r="L35" s="43"/>
      <c r="M35" s="43"/>
      <c r="N35" s="43"/>
      <c r="O35" s="43"/>
      <c r="P35" s="53"/>
      <c r="Q35" s="43"/>
      <c r="R35" s="43"/>
      <c r="S35" s="43"/>
      <c r="T35" s="43"/>
      <c r="U35" s="43"/>
      <c r="V35" s="43"/>
      <c r="W35" s="43"/>
      <c r="X35" s="43"/>
      <c r="Y35" s="43"/>
      <c r="Z35" s="8"/>
      <c r="AA35" s="8"/>
    </row>
    <row r="36" spans="1:27" ht="12.75">
      <c r="A36" s="8"/>
      <c r="B36" s="50"/>
      <c r="C36" s="51"/>
      <c r="D36" s="51"/>
      <c r="E36" s="52"/>
      <c r="F36" s="44"/>
      <c r="G36" s="44"/>
      <c r="H36" s="44"/>
      <c r="I36" s="44"/>
      <c r="J36" s="44"/>
      <c r="K36" s="36"/>
      <c r="L36" s="44"/>
      <c r="M36" s="44"/>
      <c r="N36" s="44"/>
      <c r="O36" s="44"/>
      <c r="P36" s="36"/>
      <c r="Q36" s="44"/>
      <c r="R36" s="44"/>
      <c r="S36" s="44"/>
      <c r="T36" s="44"/>
      <c r="U36" s="44"/>
      <c r="V36" s="44"/>
      <c r="W36" s="44"/>
      <c r="X36" s="44"/>
      <c r="Y36" s="44"/>
      <c r="Z36" s="8"/>
      <c r="AA36" s="8"/>
    </row>
    <row r="37" spans="1:27" ht="15">
      <c r="A37" s="8"/>
      <c r="B37" s="40"/>
      <c r="C37" s="41"/>
      <c r="D37" s="41"/>
      <c r="E37" s="42"/>
      <c r="F37" s="17" t="s">
        <v>17</v>
      </c>
      <c r="G37" s="18">
        <f>COUNTIF(F35:G36,"✔")</f>
        <v>0</v>
      </c>
      <c r="H37" s="17" t="s">
        <v>18</v>
      </c>
      <c r="I37" s="18">
        <f>COUNTIF(H35:I36,"a")</f>
        <v>0</v>
      </c>
      <c r="J37" s="17" t="s">
        <v>17</v>
      </c>
      <c r="K37" s="18">
        <f>COUNTIF(J35:K36,"✔")</f>
        <v>0</v>
      </c>
      <c r="L37" s="17" t="s">
        <v>18</v>
      </c>
      <c r="M37" s="18">
        <f>COUNTIF(L35:M36,"a")</f>
        <v>0</v>
      </c>
      <c r="N37" s="17" t="s">
        <v>17</v>
      </c>
      <c r="O37" s="18">
        <f>COUNTIF(N35:O36,"✔")</f>
        <v>0</v>
      </c>
      <c r="P37" s="17" t="s">
        <v>18</v>
      </c>
      <c r="Q37" s="18">
        <f>COUNTIF(P35:Q36,"a")</f>
        <v>0</v>
      </c>
      <c r="R37" s="17" t="s">
        <v>17</v>
      </c>
      <c r="S37" s="18">
        <f>COUNTIF(R35:S36,"✔")</f>
        <v>0</v>
      </c>
      <c r="T37" s="17" t="s">
        <v>18</v>
      </c>
      <c r="U37" s="18">
        <f>COUNTIF(T35:U36,"a")</f>
        <v>0</v>
      </c>
      <c r="V37" s="17" t="s">
        <v>17</v>
      </c>
      <c r="W37" s="18">
        <f>COUNTIF(V35:W36,"✔")</f>
        <v>0</v>
      </c>
      <c r="X37" s="17" t="s">
        <v>18</v>
      </c>
      <c r="Y37" s="18">
        <f>COUNTIF(X35:Y36,"a")</f>
        <v>0</v>
      </c>
      <c r="Z37" s="8"/>
      <c r="AA37" s="8"/>
    </row>
    <row r="38" spans="1:27" ht="12.75">
      <c r="A38" s="8"/>
      <c r="B38" s="47" t="s">
        <v>242</v>
      </c>
      <c r="C38" s="48"/>
      <c r="D38" s="48"/>
      <c r="E38" s="49"/>
      <c r="F38" s="43"/>
      <c r="G38" s="43"/>
      <c r="H38" s="43"/>
      <c r="I38" s="43"/>
      <c r="J38" s="43"/>
      <c r="K38" s="45"/>
      <c r="L38" s="43"/>
      <c r="M38" s="43"/>
      <c r="N38" s="43"/>
      <c r="O38" s="43"/>
      <c r="P38" s="53"/>
      <c r="Q38" s="43"/>
      <c r="R38" s="43"/>
      <c r="S38" s="43"/>
      <c r="T38" s="43"/>
      <c r="U38" s="43"/>
      <c r="V38" s="43"/>
      <c r="W38" s="43"/>
      <c r="X38" s="43"/>
      <c r="Y38" s="43"/>
      <c r="Z38" s="8"/>
      <c r="AA38" s="8"/>
    </row>
    <row r="39" spans="1:27" ht="12.75">
      <c r="A39" s="8"/>
      <c r="B39" s="50"/>
      <c r="C39" s="51"/>
      <c r="D39" s="51"/>
      <c r="E39" s="52"/>
      <c r="F39" s="44"/>
      <c r="G39" s="44"/>
      <c r="H39" s="44"/>
      <c r="I39" s="44"/>
      <c r="J39" s="44"/>
      <c r="K39" s="36"/>
      <c r="L39" s="44"/>
      <c r="M39" s="44"/>
      <c r="N39" s="44"/>
      <c r="O39" s="44"/>
      <c r="P39" s="36"/>
      <c r="Q39" s="44"/>
      <c r="R39" s="44"/>
      <c r="S39" s="44"/>
      <c r="T39" s="44"/>
      <c r="U39" s="44"/>
      <c r="V39" s="44"/>
      <c r="W39" s="44"/>
      <c r="X39" s="44"/>
      <c r="Y39" s="44"/>
      <c r="Z39" s="8"/>
      <c r="AA39" s="8"/>
    </row>
    <row r="40" spans="1:27" ht="15">
      <c r="A40" s="8"/>
      <c r="B40" s="40"/>
      <c r="C40" s="41"/>
      <c r="D40" s="41"/>
      <c r="E40" s="42"/>
      <c r="F40" s="17" t="s">
        <v>17</v>
      </c>
      <c r="G40" s="18">
        <f>COUNTIF(F38:G39,"✔")</f>
        <v>0</v>
      </c>
      <c r="H40" s="17" t="s">
        <v>18</v>
      </c>
      <c r="I40" s="18">
        <f>COUNTIF(H38:I39,"a")</f>
        <v>0</v>
      </c>
      <c r="J40" s="17" t="s">
        <v>17</v>
      </c>
      <c r="K40" s="18">
        <f>COUNTIF(J38:K39,"✔")</f>
        <v>0</v>
      </c>
      <c r="L40" s="17" t="s">
        <v>18</v>
      </c>
      <c r="M40" s="18">
        <f>COUNTIF(L38:M39,"a")</f>
        <v>0</v>
      </c>
      <c r="N40" s="17" t="s">
        <v>17</v>
      </c>
      <c r="O40" s="18">
        <f>COUNTIF(N38:O39,"✔")</f>
        <v>0</v>
      </c>
      <c r="P40" s="17" t="s">
        <v>18</v>
      </c>
      <c r="Q40" s="18">
        <f>COUNTIF(P38:Q39,"a")</f>
        <v>0</v>
      </c>
      <c r="R40" s="17" t="s">
        <v>17</v>
      </c>
      <c r="S40" s="18">
        <f>COUNTIF(R38:S39,"✔")</f>
        <v>0</v>
      </c>
      <c r="T40" s="17" t="s">
        <v>18</v>
      </c>
      <c r="U40" s="18">
        <f>COUNTIF(T38:U39,"a")</f>
        <v>0</v>
      </c>
      <c r="V40" s="17" t="s">
        <v>17</v>
      </c>
      <c r="W40" s="18">
        <f>COUNTIF(V38:W39,"✔")</f>
        <v>0</v>
      </c>
      <c r="X40" s="17" t="s">
        <v>18</v>
      </c>
      <c r="Y40" s="18">
        <f>COUNTIF(X38:Y39,"a")</f>
        <v>0</v>
      </c>
      <c r="Z40" s="8"/>
      <c r="AA40" s="8"/>
    </row>
    <row r="41" spans="1:27" ht="12.75">
      <c r="A41" s="8"/>
      <c r="B41" s="47" t="s">
        <v>243</v>
      </c>
      <c r="C41" s="48"/>
      <c r="D41" s="48"/>
      <c r="E41" s="49"/>
      <c r="F41" s="43"/>
      <c r="G41" s="43"/>
      <c r="H41" s="43"/>
      <c r="I41" s="43"/>
      <c r="J41" s="43"/>
      <c r="K41" s="45"/>
      <c r="L41" s="43"/>
      <c r="M41" s="43"/>
      <c r="N41" s="43"/>
      <c r="O41" s="43"/>
      <c r="P41" s="53"/>
      <c r="Q41" s="43"/>
      <c r="R41" s="43"/>
      <c r="S41" s="43"/>
      <c r="T41" s="43"/>
      <c r="U41" s="43"/>
      <c r="V41" s="43"/>
      <c r="W41" s="43"/>
      <c r="X41" s="43"/>
      <c r="Y41" s="43"/>
      <c r="Z41" s="8"/>
      <c r="AA41" s="8"/>
    </row>
    <row r="42" spans="1:27" ht="12.75">
      <c r="A42" s="8"/>
      <c r="B42" s="50"/>
      <c r="C42" s="51"/>
      <c r="D42" s="51"/>
      <c r="E42" s="52"/>
      <c r="F42" s="44"/>
      <c r="G42" s="44"/>
      <c r="H42" s="44"/>
      <c r="I42" s="44"/>
      <c r="J42" s="44"/>
      <c r="K42" s="36"/>
      <c r="L42" s="44"/>
      <c r="M42" s="44"/>
      <c r="N42" s="44"/>
      <c r="O42" s="44"/>
      <c r="P42" s="36"/>
      <c r="Q42" s="44"/>
      <c r="R42" s="44"/>
      <c r="S42" s="44"/>
      <c r="T42" s="44"/>
      <c r="U42" s="44"/>
      <c r="V42" s="44"/>
      <c r="W42" s="44"/>
      <c r="X42" s="44"/>
      <c r="Y42" s="44"/>
      <c r="Z42" s="8"/>
      <c r="AA42" s="8"/>
    </row>
    <row r="43" spans="1:27" ht="15">
      <c r="A43" s="8"/>
      <c r="B43" s="40"/>
      <c r="C43" s="41"/>
      <c r="D43" s="41"/>
      <c r="E43" s="42"/>
      <c r="F43" s="17" t="s">
        <v>17</v>
      </c>
      <c r="G43" s="18">
        <f>COUNTIF(F41:G42,"✔")</f>
        <v>0</v>
      </c>
      <c r="H43" s="17" t="s">
        <v>18</v>
      </c>
      <c r="I43" s="18">
        <f>COUNTIF(H41:I42,"a")</f>
        <v>0</v>
      </c>
      <c r="J43" s="17" t="s">
        <v>17</v>
      </c>
      <c r="K43" s="18">
        <f>COUNTIF(J41:K42,"✔")</f>
        <v>0</v>
      </c>
      <c r="L43" s="17" t="s">
        <v>18</v>
      </c>
      <c r="M43" s="18">
        <f>COUNTIF(L41:M42,"a")</f>
        <v>0</v>
      </c>
      <c r="N43" s="17" t="s">
        <v>17</v>
      </c>
      <c r="O43" s="18">
        <f>COUNTIF(N41:O42,"✔")</f>
        <v>0</v>
      </c>
      <c r="P43" s="17" t="s">
        <v>18</v>
      </c>
      <c r="Q43" s="18">
        <f>COUNTIF(P41:Q42,"a")</f>
        <v>0</v>
      </c>
      <c r="R43" s="17" t="s">
        <v>17</v>
      </c>
      <c r="S43" s="18">
        <f>COUNTIF(R41:S42,"✔")</f>
        <v>0</v>
      </c>
      <c r="T43" s="17" t="s">
        <v>18</v>
      </c>
      <c r="U43" s="18">
        <f>COUNTIF(T41:U42,"a")</f>
        <v>0</v>
      </c>
      <c r="V43" s="17" t="s">
        <v>17</v>
      </c>
      <c r="W43" s="18">
        <f>COUNTIF(V41:W42,"✔")</f>
        <v>0</v>
      </c>
      <c r="X43" s="17" t="s">
        <v>18</v>
      </c>
      <c r="Y43" s="18">
        <f>COUNTIF(X41:Y42,"a")</f>
        <v>0</v>
      </c>
      <c r="Z43" s="8"/>
      <c r="AA43" s="8"/>
    </row>
    <row r="44" spans="1:27" ht="12.75">
      <c r="A44" s="8"/>
      <c r="B44" s="47" t="s">
        <v>244</v>
      </c>
      <c r="C44" s="48"/>
      <c r="D44" s="48"/>
      <c r="E44" s="49"/>
      <c r="F44" s="43"/>
      <c r="G44" s="43"/>
      <c r="H44" s="43"/>
      <c r="I44" s="43"/>
      <c r="J44" s="43"/>
      <c r="K44" s="45"/>
      <c r="L44" s="43"/>
      <c r="M44" s="43"/>
      <c r="N44" s="43"/>
      <c r="O44" s="43"/>
      <c r="P44" s="53"/>
      <c r="Q44" s="43"/>
      <c r="R44" s="43"/>
      <c r="S44" s="43"/>
      <c r="T44" s="43"/>
      <c r="U44" s="43"/>
      <c r="V44" s="43"/>
      <c r="W44" s="43"/>
      <c r="X44" s="43"/>
      <c r="Y44" s="43"/>
      <c r="Z44" s="8"/>
      <c r="AA44" s="8"/>
    </row>
    <row r="45" spans="1:27" ht="12.75">
      <c r="A45" s="8"/>
      <c r="B45" s="50"/>
      <c r="C45" s="51"/>
      <c r="D45" s="51"/>
      <c r="E45" s="52"/>
      <c r="F45" s="44"/>
      <c r="G45" s="44"/>
      <c r="H45" s="44"/>
      <c r="I45" s="44"/>
      <c r="J45" s="44"/>
      <c r="K45" s="36"/>
      <c r="L45" s="44"/>
      <c r="M45" s="44"/>
      <c r="N45" s="44"/>
      <c r="O45" s="44"/>
      <c r="P45" s="36"/>
      <c r="Q45" s="44"/>
      <c r="R45" s="44"/>
      <c r="S45" s="44"/>
      <c r="T45" s="44"/>
      <c r="U45" s="44"/>
      <c r="V45" s="44"/>
      <c r="W45" s="44"/>
      <c r="X45" s="44"/>
      <c r="Y45" s="44"/>
      <c r="Z45" s="8"/>
      <c r="AA45" s="8"/>
    </row>
    <row r="46" spans="1:27" ht="15">
      <c r="A46" s="8"/>
      <c r="B46" s="40"/>
      <c r="C46" s="41"/>
      <c r="D46" s="41"/>
      <c r="E46" s="42"/>
      <c r="F46" s="17" t="s">
        <v>17</v>
      </c>
      <c r="G46" s="18">
        <f>COUNTIF(F44:G45,"✔")</f>
        <v>0</v>
      </c>
      <c r="H46" s="17" t="s">
        <v>18</v>
      </c>
      <c r="I46" s="18">
        <f>COUNTIF(H44:I45,"a")</f>
        <v>0</v>
      </c>
      <c r="J46" s="17" t="s">
        <v>17</v>
      </c>
      <c r="K46" s="18">
        <f>COUNTIF(J44:K45,"✔")</f>
        <v>0</v>
      </c>
      <c r="L46" s="17" t="s">
        <v>18</v>
      </c>
      <c r="M46" s="18">
        <f>COUNTIF(L44:M45,"a")</f>
        <v>0</v>
      </c>
      <c r="N46" s="17" t="s">
        <v>17</v>
      </c>
      <c r="O46" s="18">
        <f>COUNTIF(N44:O45,"✔")</f>
        <v>0</v>
      </c>
      <c r="P46" s="17" t="s">
        <v>18</v>
      </c>
      <c r="Q46" s="18">
        <f>COUNTIF(P44:Q45,"a")</f>
        <v>0</v>
      </c>
      <c r="R46" s="17" t="s">
        <v>17</v>
      </c>
      <c r="S46" s="18">
        <f>COUNTIF(R44:S45,"✔")</f>
        <v>0</v>
      </c>
      <c r="T46" s="17" t="s">
        <v>18</v>
      </c>
      <c r="U46" s="18">
        <f>COUNTIF(T44:U45,"a")</f>
        <v>0</v>
      </c>
      <c r="V46" s="17" t="s">
        <v>17</v>
      </c>
      <c r="W46" s="18">
        <f>COUNTIF(V44:W45,"✔")</f>
        <v>0</v>
      </c>
      <c r="X46" s="17" t="s">
        <v>18</v>
      </c>
      <c r="Y46" s="18">
        <f>COUNTIF(X44:Y45,"a")</f>
        <v>0</v>
      </c>
      <c r="Z46" s="8"/>
      <c r="AA46" s="8"/>
    </row>
    <row r="47" spans="1:27" ht="12.75">
      <c r="A47" s="8"/>
      <c r="B47" s="47" t="s">
        <v>245</v>
      </c>
      <c r="C47" s="48"/>
      <c r="D47" s="48"/>
      <c r="E47" s="49"/>
      <c r="F47" s="43"/>
      <c r="G47" s="43"/>
      <c r="H47" s="43"/>
      <c r="I47" s="43"/>
      <c r="J47" s="43"/>
      <c r="K47" s="45"/>
      <c r="L47" s="43"/>
      <c r="M47" s="43"/>
      <c r="N47" s="43"/>
      <c r="O47" s="43"/>
      <c r="P47" s="53"/>
      <c r="Q47" s="43"/>
      <c r="R47" s="43"/>
      <c r="S47" s="43"/>
      <c r="T47" s="43"/>
      <c r="U47" s="43"/>
      <c r="V47" s="43"/>
      <c r="W47" s="43"/>
      <c r="X47" s="43"/>
      <c r="Y47" s="43"/>
      <c r="Z47" s="8"/>
      <c r="AA47" s="8"/>
    </row>
    <row r="48" spans="1:27" ht="12.75">
      <c r="A48" s="8"/>
      <c r="B48" s="50"/>
      <c r="C48" s="51"/>
      <c r="D48" s="51"/>
      <c r="E48" s="52"/>
      <c r="F48" s="44"/>
      <c r="G48" s="44"/>
      <c r="H48" s="44"/>
      <c r="I48" s="44"/>
      <c r="J48" s="44"/>
      <c r="K48" s="36"/>
      <c r="L48" s="44"/>
      <c r="M48" s="44"/>
      <c r="N48" s="44"/>
      <c r="O48" s="44"/>
      <c r="P48" s="36"/>
      <c r="Q48" s="44"/>
      <c r="R48" s="44"/>
      <c r="S48" s="44"/>
      <c r="T48" s="44"/>
      <c r="U48" s="44"/>
      <c r="V48" s="44"/>
      <c r="W48" s="44"/>
      <c r="X48" s="44"/>
      <c r="Y48" s="44"/>
      <c r="Z48" s="8"/>
      <c r="AA48" s="8"/>
    </row>
    <row r="49" spans="1:27" ht="15">
      <c r="A49" s="8"/>
      <c r="B49" s="40"/>
      <c r="C49" s="41"/>
      <c r="D49" s="41"/>
      <c r="E49" s="42"/>
      <c r="F49" s="17" t="s">
        <v>17</v>
      </c>
      <c r="G49" s="18">
        <f>COUNTIF(F47:G48,"✔")</f>
        <v>0</v>
      </c>
      <c r="H49" s="17" t="s">
        <v>18</v>
      </c>
      <c r="I49" s="18">
        <f>COUNTIF(H47:I48,"a")</f>
        <v>0</v>
      </c>
      <c r="J49" s="17" t="s">
        <v>17</v>
      </c>
      <c r="K49" s="18">
        <f>COUNTIF(J47:K48,"✔")</f>
        <v>0</v>
      </c>
      <c r="L49" s="17" t="s">
        <v>18</v>
      </c>
      <c r="M49" s="18">
        <f>COUNTIF(L47:M48,"a")</f>
        <v>0</v>
      </c>
      <c r="N49" s="17" t="s">
        <v>17</v>
      </c>
      <c r="O49" s="18">
        <f>COUNTIF(N47:O48,"✔")</f>
        <v>0</v>
      </c>
      <c r="P49" s="17" t="s">
        <v>18</v>
      </c>
      <c r="Q49" s="18">
        <f>COUNTIF(P47:Q48,"a")</f>
        <v>0</v>
      </c>
      <c r="R49" s="17" t="s">
        <v>17</v>
      </c>
      <c r="S49" s="18">
        <f>COUNTIF(R47:S48,"✔")</f>
        <v>0</v>
      </c>
      <c r="T49" s="17" t="s">
        <v>18</v>
      </c>
      <c r="U49" s="18">
        <f>COUNTIF(T47:U48,"a")</f>
        <v>0</v>
      </c>
      <c r="V49" s="17" t="s">
        <v>17</v>
      </c>
      <c r="W49" s="18">
        <f>COUNTIF(V47:W48,"✔")</f>
        <v>0</v>
      </c>
      <c r="X49" s="17" t="s">
        <v>18</v>
      </c>
      <c r="Y49" s="18">
        <f>COUNTIF(X47:Y48,"a")</f>
        <v>0</v>
      </c>
      <c r="Z49" s="8"/>
      <c r="AA49" s="8"/>
    </row>
    <row r="50" spans="1:27" ht="12.75">
      <c r="A50" s="8"/>
      <c r="B50" s="47" t="s">
        <v>255</v>
      </c>
      <c r="C50" s="48"/>
      <c r="D50" s="48"/>
      <c r="E50" s="49"/>
      <c r="F50" s="43"/>
      <c r="G50" s="43"/>
      <c r="H50" s="43"/>
      <c r="I50" s="43"/>
      <c r="J50" s="43"/>
      <c r="K50" s="45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8"/>
      <c r="AA50" s="8"/>
    </row>
    <row r="51" spans="1:27" ht="12.75">
      <c r="A51" s="8"/>
      <c r="B51" s="50"/>
      <c r="C51" s="51"/>
      <c r="D51" s="51"/>
      <c r="E51" s="52"/>
      <c r="F51" s="44"/>
      <c r="G51" s="44"/>
      <c r="H51" s="44"/>
      <c r="I51" s="44"/>
      <c r="J51" s="44"/>
      <c r="K51" s="3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8"/>
      <c r="AA51" s="8"/>
    </row>
    <row r="52" spans="1:27" ht="15">
      <c r="A52" s="8"/>
      <c r="B52" s="40"/>
      <c r="C52" s="41"/>
      <c r="D52" s="41"/>
      <c r="E52" s="42"/>
      <c r="F52" s="17" t="s">
        <v>17</v>
      </c>
      <c r="G52" s="18">
        <f>COUNTIF(F50:G51,"✔")</f>
        <v>0</v>
      </c>
      <c r="H52" s="17" t="s">
        <v>18</v>
      </c>
      <c r="I52" s="18">
        <f>COUNTIF(H50:I51,"a")</f>
        <v>0</v>
      </c>
      <c r="J52" s="17" t="s">
        <v>17</v>
      </c>
      <c r="K52" s="18">
        <f>COUNTIF(J50:K51,"✔")</f>
        <v>0</v>
      </c>
      <c r="L52" s="17" t="s">
        <v>18</v>
      </c>
      <c r="M52" s="18">
        <f>COUNTIF(L50:M51,"a")</f>
        <v>0</v>
      </c>
      <c r="N52" s="17" t="s">
        <v>17</v>
      </c>
      <c r="O52" s="18">
        <f>COUNTIF(N50:O51,"✔")</f>
        <v>0</v>
      </c>
      <c r="P52" s="17" t="s">
        <v>18</v>
      </c>
      <c r="Q52" s="18">
        <f>COUNTIF(P50:Q51,"a")</f>
        <v>0</v>
      </c>
      <c r="R52" s="17" t="s">
        <v>17</v>
      </c>
      <c r="S52" s="18">
        <f>COUNTIF(R50:S51,"✔")</f>
        <v>0</v>
      </c>
      <c r="T52" s="17" t="s">
        <v>18</v>
      </c>
      <c r="U52" s="18">
        <f>COUNTIF(T50:U51,"a")</f>
        <v>0</v>
      </c>
      <c r="V52" s="17" t="s">
        <v>17</v>
      </c>
      <c r="W52" s="18">
        <f>COUNTIF(V50:W51,"✔")</f>
        <v>0</v>
      </c>
      <c r="X52" s="17" t="s">
        <v>18</v>
      </c>
      <c r="Y52" s="18">
        <f>COUNTIF(X50:Y51,"a")</f>
        <v>0</v>
      </c>
      <c r="Z52" s="8"/>
      <c r="AA52" s="8"/>
    </row>
    <row r="53" spans="1:27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</sheetData>
  <mergeCells count="335">
    <mergeCell ref="S50:S51"/>
    <mergeCell ref="T50:T51"/>
    <mergeCell ref="U50:U51"/>
    <mergeCell ref="V50:V51"/>
    <mergeCell ref="W50:W51"/>
    <mergeCell ref="X50:X51"/>
    <mergeCell ref="Y50:Y51"/>
    <mergeCell ref="K50:K51"/>
    <mergeCell ref="L50:L51"/>
    <mergeCell ref="M50:M51"/>
    <mergeCell ref="N50:N51"/>
    <mergeCell ref="O50:O51"/>
    <mergeCell ref="P50:P51"/>
    <mergeCell ref="Q50:Q51"/>
    <mergeCell ref="B49:E49"/>
    <mergeCell ref="B50:E51"/>
    <mergeCell ref="F50:F51"/>
    <mergeCell ref="G50:G51"/>
    <mergeCell ref="H50:H51"/>
    <mergeCell ref="I50:I51"/>
    <mergeCell ref="J50:J51"/>
    <mergeCell ref="B52:E52"/>
    <mergeCell ref="R50:R51"/>
    <mergeCell ref="B23:E24"/>
    <mergeCell ref="F23:F24"/>
    <mergeCell ref="G23:G24"/>
    <mergeCell ref="H23:H24"/>
    <mergeCell ref="I23:I24"/>
    <mergeCell ref="J23:J24"/>
    <mergeCell ref="K23:K24"/>
    <mergeCell ref="S26:S27"/>
    <mergeCell ref="T26:T27"/>
    <mergeCell ref="L26:L27"/>
    <mergeCell ref="M26:M27"/>
    <mergeCell ref="N26:N27"/>
    <mergeCell ref="O26:O27"/>
    <mergeCell ref="P26:P27"/>
    <mergeCell ref="Q26:Q27"/>
    <mergeCell ref="R26:R27"/>
    <mergeCell ref="B26:E27"/>
    <mergeCell ref="F26:F27"/>
    <mergeCell ref="G26:G27"/>
    <mergeCell ref="H26:H27"/>
    <mergeCell ref="I26:I27"/>
    <mergeCell ref="J26:J27"/>
    <mergeCell ref="K26:K27"/>
    <mergeCell ref="S23:S24"/>
    <mergeCell ref="T23:T24"/>
    <mergeCell ref="L23:L24"/>
    <mergeCell ref="M23:M24"/>
    <mergeCell ref="N23:N24"/>
    <mergeCell ref="O23:O24"/>
    <mergeCell ref="P23:P24"/>
    <mergeCell ref="Q23:Q24"/>
    <mergeCell ref="R23:R24"/>
    <mergeCell ref="U47:U48"/>
    <mergeCell ref="V47:V48"/>
    <mergeCell ref="W47:W48"/>
    <mergeCell ref="X47:X48"/>
    <mergeCell ref="Y47:Y48"/>
    <mergeCell ref="R44:R45"/>
    <mergeCell ref="S44:S45"/>
    <mergeCell ref="U44:U45"/>
    <mergeCell ref="V44:V45"/>
    <mergeCell ref="W44:W45"/>
    <mergeCell ref="X44:X45"/>
    <mergeCell ref="Y44:Y45"/>
    <mergeCell ref="R47:R48"/>
    <mergeCell ref="S47:S48"/>
    <mergeCell ref="Q44:Q45"/>
    <mergeCell ref="B46:E46"/>
    <mergeCell ref="B47:E48"/>
    <mergeCell ref="F47:F48"/>
    <mergeCell ref="G47:G48"/>
    <mergeCell ref="H47:H48"/>
    <mergeCell ref="I47:I48"/>
    <mergeCell ref="J47:J48"/>
    <mergeCell ref="T44:T45"/>
    <mergeCell ref="T47:T48"/>
    <mergeCell ref="K47:K48"/>
    <mergeCell ref="L47:L48"/>
    <mergeCell ref="M47:M48"/>
    <mergeCell ref="N47:N48"/>
    <mergeCell ref="O47:O48"/>
    <mergeCell ref="P47:P48"/>
    <mergeCell ref="Q47:Q48"/>
    <mergeCell ref="T41:T42"/>
    <mergeCell ref="U41:U42"/>
    <mergeCell ref="V41:V42"/>
    <mergeCell ref="W41:W42"/>
    <mergeCell ref="X41:X42"/>
    <mergeCell ref="Y41:Y42"/>
    <mergeCell ref="K41:K42"/>
    <mergeCell ref="L41:L42"/>
    <mergeCell ref="M41:M42"/>
    <mergeCell ref="N41:N42"/>
    <mergeCell ref="O41:O42"/>
    <mergeCell ref="P41:P42"/>
    <mergeCell ref="Q41:Q42"/>
    <mergeCell ref="B43:E43"/>
    <mergeCell ref="B44:E45"/>
    <mergeCell ref="F44:F45"/>
    <mergeCell ref="G44:G45"/>
    <mergeCell ref="H44:H45"/>
    <mergeCell ref="I44:I45"/>
    <mergeCell ref="J44:J45"/>
    <mergeCell ref="R38:R39"/>
    <mergeCell ref="S38:S39"/>
    <mergeCell ref="K38:K39"/>
    <mergeCell ref="L38:L39"/>
    <mergeCell ref="M38:M39"/>
    <mergeCell ref="N38:N39"/>
    <mergeCell ref="O38:O39"/>
    <mergeCell ref="P38:P39"/>
    <mergeCell ref="Q38:Q39"/>
    <mergeCell ref="R41:R42"/>
    <mergeCell ref="S41:S42"/>
    <mergeCell ref="K44:K45"/>
    <mergeCell ref="L44:L45"/>
    <mergeCell ref="M44:M45"/>
    <mergeCell ref="N44:N45"/>
    <mergeCell ref="O44:O45"/>
    <mergeCell ref="P44:P45"/>
    <mergeCell ref="B37:E37"/>
    <mergeCell ref="B38:E39"/>
    <mergeCell ref="F38:F39"/>
    <mergeCell ref="G38:G39"/>
    <mergeCell ref="H38:H39"/>
    <mergeCell ref="I38:I39"/>
    <mergeCell ref="J38:J39"/>
    <mergeCell ref="B40:E40"/>
    <mergeCell ref="B41:E42"/>
    <mergeCell ref="F41:F42"/>
    <mergeCell ref="G41:G42"/>
    <mergeCell ref="H41:H42"/>
    <mergeCell ref="I41:I42"/>
    <mergeCell ref="J41:J42"/>
    <mergeCell ref="U35:U36"/>
    <mergeCell ref="V35:V36"/>
    <mergeCell ref="W35:W36"/>
    <mergeCell ref="X35:X36"/>
    <mergeCell ref="Y35:Y36"/>
    <mergeCell ref="K35:K36"/>
    <mergeCell ref="L35:L36"/>
    <mergeCell ref="M35:M36"/>
    <mergeCell ref="N35:N36"/>
    <mergeCell ref="O35:O36"/>
    <mergeCell ref="P35:P36"/>
    <mergeCell ref="Q35:Q36"/>
    <mergeCell ref="T38:T39"/>
    <mergeCell ref="U38:U39"/>
    <mergeCell ref="V38:V39"/>
    <mergeCell ref="W38:W39"/>
    <mergeCell ref="X38:X39"/>
    <mergeCell ref="Y38:Y39"/>
    <mergeCell ref="L29:L30"/>
    <mergeCell ref="M29:M30"/>
    <mergeCell ref="N29:N30"/>
    <mergeCell ref="O29:O30"/>
    <mergeCell ref="P29:P30"/>
    <mergeCell ref="Q29:Q30"/>
    <mergeCell ref="R29:R30"/>
    <mergeCell ref="R32:R33"/>
    <mergeCell ref="S32:S33"/>
    <mergeCell ref="T32:T33"/>
    <mergeCell ref="U32:U33"/>
    <mergeCell ref="V32:V33"/>
    <mergeCell ref="W32:W33"/>
    <mergeCell ref="X32:X33"/>
    <mergeCell ref="Y32:Y33"/>
    <mergeCell ref="L32:L33"/>
    <mergeCell ref="M32:M33"/>
    <mergeCell ref="N32:N33"/>
    <mergeCell ref="B34:E34"/>
    <mergeCell ref="B35:E36"/>
    <mergeCell ref="F35:F36"/>
    <mergeCell ref="G35:G36"/>
    <mergeCell ref="H35:H36"/>
    <mergeCell ref="I35:I36"/>
    <mergeCell ref="J35:J36"/>
    <mergeCell ref="S29:S30"/>
    <mergeCell ref="T29:T30"/>
    <mergeCell ref="K32:K33"/>
    <mergeCell ref="O32:O33"/>
    <mergeCell ref="P32:P33"/>
    <mergeCell ref="Q32:Q33"/>
    <mergeCell ref="R35:R36"/>
    <mergeCell ref="S35:S36"/>
    <mergeCell ref="T35:T36"/>
    <mergeCell ref="B29:E30"/>
    <mergeCell ref="F29:F30"/>
    <mergeCell ref="G29:G30"/>
    <mergeCell ref="H29:H30"/>
    <mergeCell ref="I29:I30"/>
    <mergeCell ref="J29:J30"/>
    <mergeCell ref="K29:K30"/>
    <mergeCell ref="B31:E31"/>
    <mergeCell ref="B32:E33"/>
    <mergeCell ref="F32:F33"/>
    <mergeCell ref="G32:G33"/>
    <mergeCell ref="H32:H33"/>
    <mergeCell ref="I32:I33"/>
    <mergeCell ref="J32:J33"/>
    <mergeCell ref="U20:U21"/>
    <mergeCell ref="V20:V21"/>
    <mergeCell ref="W20:W21"/>
    <mergeCell ref="X20:X21"/>
    <mergeCell ref="Y20:Y21"/>
    <mergeCell ref="U29:U30"/>
    <mergeCell ref="V29:V30"/>
    <mergeCell ref="W29:W30"/>
    <mergeCell ref="X29:X30"/>
    <mergeCell ref="Y29:Y30"/>
    <mergeCell ref="U23:U24"/>
    <mergeCell ref="V23:V24"/>
    <mergeCell ref="W23:W24"/>
    <mergeCell ref="X23:X24"/>
    <mergeCell ref="Y23:Y24"/>
    <mergeCell ref="U26:U27"/>
    <mergeCell ref="V26:V27"/>
    <mergeCell ref="W26:W27"/>
    <mergeCell ref="X26:X27"/>
    <mergeCell ref="Y26:Y27"/>
    <mergeCell ref="B17:E18"/>
    <mergeCell ref="F17:F18"/>
    <mergeCell ref="G17:G18"/>
    <mergeCell ref="H17:H18"/>
    <mergeCell ref="I17:I18"/>
    <mergeCell ref="J17:J18"/>
    <mergeCell ref="K17:K18"/>
    <mergeCell ref="S20:S21"/>
    <mergeCell ref="T20:T21"/>
    <mergeCell ref="L20:L21"/>
    <mergeCell ref="M20:M21"/>
    <mergeCell ref="N20:N21"/>
    <mergeCell ref="O20:O21"/>
    <mergeCell ref="P20:P21"/>
    <mergeCell ref="Q20:Q21"/>
    <mergeCell ref="R20:R21"/>
    <mergeCell ref="B20:E21"/>
    <mergeCell ref="F20:F21"/>
    <mergeCell ref="G20:G21"/>
    <mergeCell ref="H20:H21"/>
    <mergeCell ref="I20:I21"/>
    <mergeCell ref="J20:J21"/>
    <mergeCell ref="K20:K21"/>
    <mergeCell ref="S17:S18"/>
    <mergeCell ref="T17:T18"/>
    <mergeCell ref="U17:U18"/>
    <mergeCell ref="V17:V18"/>
    <mergeCell ref="W17:W18"/>
    <mergeCell ref="X17:X18"/>
    <mergeCell ref="Y17:Y18"/>
    <mergeCell ref="L17:L18"/>
    <mergeCell ref="M17:M18"/>
    <mergeCell ref="N17:N18"/>
    <mergeCell ref="O17:O18"/>
    <mergeCell ref="P17:P18"/>
    <mergeCell ref="Q17:Q18"/>
    <mergeCell ref="R17:R18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T11:T12"/>
    <mergeCell ref="T14:T15"/>
    <mergeCell ref="U14:U15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R14:R15"/>
    <mergeCell ref="S14:S15"/>
    <mergeCell ref="K11:K12"/>
    <mergeCell ref="L11:L12"/>
    <mergeCell ref="M11:M12"/>
    <mergeCell ref="N11:N12"/>
    <mergeCell ref="O11:O12"/>
    <mergeCell ref="P11:P12"/>
    <mergeCell ref="Q11:Q12"/>
    <mergeCell ref="B13:E13"/>
    <mergeCell ref="B14:E15"/>
    <mergeCell ref="F14:F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</mergeCells>
  <conditionalFormatting sqref="F8:Y9 F11:Y12 F14:O15 Q14:Y15 F17:O18 Q17:Y18 F20:O21 Q20:Y21 F23:O24 Q23:Y24 F26:O27 Q26:Y27 F29:G30 I29:K30 M29:O30 Q29:Y30 F32:O33 Q32:Y33 F35:O36 Q35:Y36 F38:O39 Q38:Y39 F41:O42 Q41:Y42 F44:O45 Q44:Y45 F47:O48 Q47:Y48 F50:Y52">
    <cfRule type="cellIs" dxfId="35" priority="1" operator="equal">
      <formula>"✔"</formula>
    </cfRule>
    <cfRule type="cellIs" dxfId="34" priority="2" operator="equal">
      <formula>"S"</formula>
    </cfRule>
    <cfRule type="cellIs" dxfId="33" priority="3" operator="equal">
      <formula>"P"</formula>
    </cfRule>
    <cfRule type="cellIs" dxfId="32" priority="4" operator="equal">
      <formula>"V"</formula>
    </cfRule>
    <cfRule type="cellIs" dxfId="31" priority="5" operator="equal">
      <formula>"X"</formula>
    </cfRule>
    <cfRule type="cellIs" dxfId="30" priority="6" operator="equal">
      <formula>"H"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553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256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173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174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175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176</v>
      </c>
      <c r="C17" s="48"/>
      <c r="D17" s="48"/>
      <c r="E17" s="49"/>
      <c r="F17" s="43"/>
      <c r="G17" s="43"/>
      <c r="H17" s="4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44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177</v>
      </c>
      <c r="C20" s="48"/>
      <c r="D20" s="48"/>
      <c r="E20" s="49"/>
      <c r="F20" s="43"/>
      <c r="G20" s="43"/>
      <c r="H20" s="43"/>
      <c r="I20" s="43"/>
      <c r="J20" s="43"/>
      <c r="K20" s="45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44"/>
      <c r="I21" s="44"/>
      <c r="J21" s="44"/>
      <c r="K21" s="3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178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40"/>
      <c r="C25" s="41"/>
      <c r="D25" s="41"/>
      <c r="E25" s="42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47" t="s">
        <v>179</v>
      </c>
      <c r="C26" s="48"/>
      <c r="D26" s="48"/>
      <c r="E26" s="49"/>
      <c r="F26" s="43"/>
      <c r="G26" s="43"/>
      <c r="H26" s="43"/>
      <c r="I26" s="43"/>
      <c r="J26" s="43"/>
      <c r="K26" s="45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8"/>
      <c r="AA26" s="8"/>
    </row>
    <row r="27" spans="1:27" ht="12.75">
      <c r="A27" s="8"/>
      <c r="B27" s="50"/>
      <c r="C27" s="51"/>
      <c r="D27" s="51"/>
      <c r="E27" s="52"/>
      <c r="F27" s="44"/>
      <c r="G27" s="44"/>
      <c r="H27" s="44"/>
      <c r="I27" s="44"/>
      <c r="J27" s="44"/>
      <c r="K27" s="3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8"/>
      <c r="AA27" s="8"/>
    </row>
    <row r="28" spans="1:27" ht="15">
      <c r="A28" s="8"/>
      <c r="B28" s="40"/>
      <c r="C28" s="41"/>
      <c r="D28" s="41"/>
      <c r="E28" s="42"/>
      <c r="F28" s="17" t="s">
        <v>17</v>
      </c>
      <c r="G28" s="18">
        <f>COUNTIF(F26:G27,"✔")</f>
        <v>0</v>
      </c>
      <c r="H28" s="17" t="s">
        <v>18</v>
      </c>
      <c r="I28" s="18">
        <f>COUNTIF(H26:I27,"a")</f>
        <v>0</v>
      </c>
      <c r="J28" s="17" t="s">
        <v>17</v>
      </c>
      <c r="K28" s="18">
        <f>COUNTIF(J26:K27,"✔")</f>
        <v>0</v>
      </c>
      <c r="L28" s="17" t="s">
        <v>18</v>
      </c>
      <c r="M28" s="18">
        <f>COUNTIF(L26:M27,"a")</f>
        <v>0</v>
      </c>
      <c r="N28" s="17" t="s">
        <v>17</v>
      </c>
      <c r="O28" s="18">
        <f>COUNTIF(N26:O27,"✔")</f>
        <v>0</v>
      </c>
      <c r="P28" s="17" t="s">
        <v>18</v>
      </c>
      <c r="Q28" s="18">
        <f>COUNTIF(P26:Q27,"a")</f>
        <v>0</v>
      </c>
      <c r="R28" s="17" t="s">
        <v>17</v>
      </c>
      <c r="S28" s="18">
        <f>COUNTIF(R26:S27,"✔")</f>
        <v>0</v>
      </c>
      <c r="T28" s="17" t="s">
        <v>18</v>
      </c>
      <c r="U28" s="18">
        <f>COUNTIF(T26:U27,"a")</f>
        <v>0</v>
      </c>
      <c r="V28" s="17" t="s">
        <v>17</v>
      </c>
      <c r="W28" s="18">
        <f>COUNTIF(V26:W27,"✔")</f>
        <v>0</v>
      </c>
      <c r="X28" s="17" t="s">
        <v>18</v>
      </c>
      <c r="Y28" s="18">
        <f>COUNTIF(X26:Y27,"a")</f>
        <v>0</v>
      </c>
      <c r="Z28" s="8"/>
      <c r="AA28" s="8"/>
    </row>
    <row r="29" spans="1:27" ht="12.75">
      <c r="A29" s="8"/>
      <c r="B29" s="58" t="s">
        <v>257</v>
      </c>
      <c r="C29" s="48"/>
      <c r="D29" s="48"/>
      <c r="E29" s="49"/>
      <c r="F29" s="43"/>
      <c r="G29" s="43"/>
      <c r="H29" s="43"/>
      <c r="I29" s="43"/>
      <c r="J29" s="43"/>
      <c r="K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8"/>
      <c r="AA29" s="8"/>
    </row>
    <row r="30" spans="1:27" ht="12.75">
      <c r="A30" s="8"/>
      <c r="B30" s="50"/>
      <c r="C30" s="51"/>
      <c r="D30" s="51"/>
      <c r="E30" s="52"/>
      <c r="F30" s="44"/>
      <c r="G30" s="44"/>
      <c r="H30" s="44"/>
      <c r="I30" s="44"/>
      <c r="J30" s="44"/>
      <c r="K30" s="3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8"/>
      <c r="AA30" s="8"/>
    </row>
    <row r="31" spans="1:27" ht="15">
      <c r="A31" s="8"/>
      <c r="B31" s="40"/>
      <c r="C31" s="41"/>
      <c r="D31" s="41"/>
      <c r="E31" s="42"/>
      <c r="F31" s="17" t="s">
        <v>17</v>
      </c>
      <c r="G31" s="18">
        <f>COUNTIF(F29:G30,"✔")</f>
        <v>0</v>
      </c>
      <c r="H31" s="17" t="s">
        <v>18</v>
      </c>
      <c r="I31" s="18">
        <f>COUNTIF(H29:I30,"a")</f>
        <v>0</v>
      </c>
      <c r="J31" s="17" t="s">
        <v>17</v>
      </c>
      <c r="K31" s="18">
        <f>COUNTIF(J29:K30,"✔")</f>
        <v>0</v>
      </c>
      <c r="L31" s="17" t="s">
        <v>18</v>
      </c>
      <c r="M31" s="18">
        <f>COUNTIF(L29:M30,"a")</f>
        <v>0</v>
      </c>
      <c r="N31" s="17" t="s">
        <v>17</v>
      </c>
      <c r="O31" s="18">
        <f>COUNTIF(N29:O30,"✔")</f>
        <v>0</v>
      </c>
      <c r="P31" s="17" t="s">
        <v>18</v>
      </c>
      <c r="Q31" s="18">
        <f>COUNTIF(P29:Q30,"a")</f>
        <v>0</v>
      </c>
      <c r="R31" s="17" t="s">
        <v>17</v>
      </c>
      <c r="S31" s="18">
        <f>COUNTIF(R29:S30,"✔")</f>
        <v>0</v>
      </c>
      <c r="T31" s="17" t="s">
        <v>18</v>
      </c>
      <c r="U31" s="18">
        <f>COUNTIF(T29:U30,"a")</f>
        <v>0</v>
      </c>
      <c r="V31" s="17" t="s">
        <v>17</v>
      </c>
      <c r="W31" s="18">
        <f>COUNTIF(V29:W30,"✔")</f>
        <v>0</v>
      </c>
      <c r="X31" s="17" t="s">
        <v>18</v>
      </c>
      <c r="Y31" s="18">
        <f>COUNTIF(X29:Y30,"a")</f>
        <v>0</v>
      </c>
      <c r="Z31" s="8"/>
      <c r="AA31" s="8"/>
    </row>
    <row r="32" spans="1:27" ht="12.75">
      <c r="A32" s="8"/>
      <c r="B32" s="47" t="s">
        <v>181</v>
      </c>
      <c r="C32" s="48"/>
      <c r="D32" s="48"/>
      <c r="E32" s="49"/>
      <c r="F32" s="43"/>
      <c r="G32" s="43"/>
      <c r="H32" s="43"/>
      <c r="I32" s="43"/>
      <c r="J32" s="43"/>
      <c r="K32" s="45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8"/>
      <c r="AA32" s="8"/>
    </row>
    <row r="33" spans="1:27" ht="12.75">
      <c r="A33" s="8"/>
      <c r="B33" s="50"/>
      <c r="C33" s="51"/>
      <c r="D33" s="51"/>
      <c r="E33" s="52"/>
      <c r="F33" s="44"/>
      <c r="G33" s="44"/>
      <c r="H33" s="44"/>
      <c r="I33" s="44"/>
      <c r="J33" s="44"/>
      <c r="K33" s="36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8"/>
      <c r="AA33" s="8"/>
    </row>
    <row r="34" spans="1:27" ht="15">
      <c r="A34" s="8"/>
      <c r="B34" s="40"/>
      <c r="C34" s="41"/>
      <c r="D34" s="41"/>
      <c r="E34" s="42"/>
      <c r="F34" s="17" t="s">
        <v>17</v>
      </c>
      <c r="G34" s="18">
        <f>COUNTIF(F32:G33,"✔")</f>
        <v>0</v>
      </c>
      <c r="H34" s="17" t="s">
        <v>18</v>
      </c>
      <c r="I34" s="18">
        <f>COUNTIF(H32:I33,"a")</f>
        <v>0</v>
      </c>
      <c r="J34" s="17" t="s">
        <v>17</v>
      </c>
      <c r="K34" s="18">
        <f>COUNTIF(J32:K33,"✔")</f>
        <v>0</v>
      </c>
      <c r="L34" s="17" t="s">
        <v>18</v>
      </c>
      <c r="M34" s="18">
        <f>COUNTIF(L32:M33,"a")</f>
        <v>0</v>
      </c>
      <c r="N34" s="17" t="s">
        <v>17</v>
      </c>
      <c r="O34" s="18">
        <f>COUNTIF(N32:O33,"✔")</f>
        <v>0</v>
      </c>
      <c r="P34" s="17" t="s">
        <v>18</v>
      </c>
      <c r="Q34" s="18">
        <f>COUNTIF(P32:Q33,"a")</f>
        <v>0</v>
      </c>
      <c r="R34" s="17" t="s">
        <v>17</v>
      </c>
      <c r="S34" s="18">
        <f>COUNTIF(R32:S33,"✔")</f>
        <v>0</v>
      </c>
      <c r="T34" s="17" t="s">
        <v>18</v>
      </c>
      <c r="U34" s="18">
        <f>COUNTIF(T32:U33,"a")</f>
        <v>0</v>
      </c>
      <c r="V34" s="17" t="s">
        <v>17</v>
      </c>
      <c r="W34" s="18">
        <f>COUNTIF(V32:W33,"✔")</f>
        <v>0</v>
      </c>
      <c r="X34" s="17" t="s">
        <v>18</v>
      </c>
      <c r="Y34" s="18">
        <f>COUNTIF(X32:Y33,"a")</f>
        <v>0</v>
      </c>
      <c r="Z34" s="8"/>
      <c r="AA34" s="8"/>
    </row>
    <row r="35" spans="1:27" ht="12.75">
      <c r="A35" s="8"/>
      <c r="B35" s="47" t="s">
        <v>182</v>
      </c>
      <c r="C35" s="48"/>
      <c r="D35" s="48"/>
      <c r="E35" s="49"/>
      <c r="F35" s="43"/>
      <c r="G35" s="43"/>
      <c r="H35" s="43"/>
      <c r="I35" s="43"/>
      <c r="J35" s="43"/>
      <c r="K35" s="45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8"/>
      <c r="AA35" s="8"/>
    </row>
    <row r="36" spans="1:27" ht="12.75">
      <c r="A36" s="8"/>
      <c r="B36" s="50"/>
      <c r="C36" s="51"/>
      <c r="D36" s="51"/>
      <c r="E36" s="52"/>
      <c r="F36" s="44"/>
      <c r="G36" s="44"/>
      <c r="H36" s="44"/>
      <c r="I36" s="44"/>
      <c r="J36" s="44"/>
      <c r="K36" s="3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8"/>
      <c r="AA36" s="8"/>
    </row>
    <row r="37" spans="1:27" ht="15">
      <c r="A37" s="8"/>
      <c r="B37" s="40"/>
      <c r="C37" s="41"/>
      <c r="D37" s="41"/>
      <c r="E37" s="42"/>
      <c r="F37" s="17" t="s">
        <v>17</v>
      </c>
      <c r="G37" s="18">
        <f>COUNTIF(F35:G36,"✔")</f>
        <v>0</v>
      </c>
      <c r="H37" s="17" t="s">
        <v>18</v>
      </c>
      <c r="I37" s="18">
        <f>COUNTIF(H35:I36,"a")</f>
        <v>0</v>
      </c>
      <c r="J37" s="17" t="s">
        <v>17</v>
      </c>
      <c r="K37" s="18">
        <f>COUNTIF(J35:K36,"✔")</f>
        <v>0</v>
      </c>
      <c r="L37" s="17" t="s">
        <v>18</v>
      </c>
      <c r="M37" s="18">
        <f>COUNTIF(L35:M36,"a")</f>
        <v>0</v>
      </c>
      <c r="N37" s="17" t="s">
        <v>17</v>
      </c>
      <c r="O37" s="18">
        <f>COUNTIF(N35:O36,"✔")</f>
        <v>0</v>
      </c>
      <c r="P37" s="17" t="s">
        <v>18</v>
      </c>
      <c r="Q37" s="18">
        <f>COUNTIF(P35:Q36,"a")</f>
        <v>0</v>
      </c>
      <c r="R37" s="17" t="s">
        <v>17</v>
      </c>
      <c r="S37" s="18">
        <f>COUNTIF(R35:S36,"✔")</f>
        <v>0</v>
      </c>
      <c r="T37" s="17" t="s">
        <v>18</v>
      </c>
      <c r="U37" s="18">
        <f>COUNTIF(T35:U36,"a")</f>
        <v>0</v>
      </c>
      <c r="V37" s="17" t="s">
        <v>17</v>
      </c>
      <c r="W37" s="18">
        <f>COUNTIF(V35:W36,"✔")</f>
        <v>0</v>
      </c>
      <c r="X37" s="17" t="s">
        <v>18</v>
      </c>
      <c r="Y37" s="18">
        <f>COUNTIF(X35:Y36,"a")</f>
        <v>0</v>
      </c>
      <c r="Z37" s="8"/>
      <c r="AA37" s="8"/>
    </row>
    <row r="38" spans="1:27" ht="12.75">
      <c r="A38" s="8"/>
      <c r="B38" s="47" t="s">
        <v>183</v>
      </c>
      <c r="C38" s="48"/>
      <c r="D38" s="48"/>
      <c r="E38" s="49"/>
      <c r="F38" s="43"/>
      <c r="G38" s="43"/>
      <c r="H38" s="43"/>
      <c r="I38" s="43"/>
      <c r="J38" s="43"/>
      <c r="K38" s="45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8"/>
      <c r="AA38" s="8"/>
    </row>
    <row r="39" spans="1:27" ht="12.75">
      <c r="A39" s="8"/>
      <c r="B39" s="50"/>
      <c r="C39" s="51"/>
      <c r="D39" s="51"/>
      <c r="E39" s="52"/>
      <c r="F39" s="44"/>
      <c r="G39" s="44"/>
      <c r="H39" s="44"/>
      <c r="I39" s="44"/>
      <c r="J39" s="44"/>
      <c r="K39" s="3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8"/>
      <c r="AA39" s="8"/>
    </row>
    <row r="40" spans="1:27" ht="15">
      <c r="A40" s="8"/>
      <c r="B40" s="40"/>
      <c r="C40" s="41"/>
      <c r="D40" s="41"/>
      <c r="E40" s="42"/>
      <c r="F40" s="17" t="s">
        <v>17</v>
      </c>
      <c r="G40" s="18">
        <f>COUNTIF(F38:G39,"✔")</f>
        <v>0</v>
      </c>
      <c r="H40" s="17" t="s">
        <v>18</v>
      </c>
      <c r="I40" s="18">
        <f>COUNTIF(H38:I39,"a")</f>
        <v>0</v>
      </c>
      <c r="J40" s="17" t="s">
        <v>17</v>
      </c>
      <c r="K40" s="18">
        <f>COUNTIF(J38:K39,"✔")</f>
        <v>0</v>
      </c>
      <c r="L40" s="17" t="s">
        <v>18</v>
      </c>
      <c r="M40" s="18">
        <f>COUNTIF(L38:M39,"a")</f>
        <v>0</v>
      </c>
      <c r="N40" s="17" t="s">
        <v>17</v>
      </c>
      <c r="O40" s="18">
        <f>COUNTIF(N38:O39,"✔")</f>
        <v>0</v>
      </c>
      <c r="P40" s="17" t="s">
        <v>18</v>
      </c>
      <c r="Q40" s="18">
        <f>COUNTIF(P38:Q39,"a")</f>
        <v>0</v>
      </c>
      <c r="R40" s="17" t="s">
        <v>17</v>
      </c>
      <c r="S40" s="18">
        <f>COUNTIF(R38:S39,"✔")</f>
        <v>0</v>
      </c>
      <c r="T40" s="17" t="s">
        <v>18</v>
      </c>
      <c r="U40" s="18">
        <f>COUNTIF(T38:U39,"a")</f>
        <v>0</v>
      </c>
      <c r="V40" s="17" t="s">
        <v>17</v>
      </c>
      <c r="W40" s="18">
        <f>COUNTIF(V38:W39,"✔")</f>
        <v>0</v>
      </c>
      <c r="X40" s="17" t="s">
        <v>18</v>
      </c>
      <c r="Y40" s="18">
        <f>COUNTIF(X38:Y39,"a")</f>
        <v>0</v>
      </c>
      <c r="Z40" s="8"/>
      <c r="AA40" s="8"/>
    </row>
    <row r="41" spans="1:27" ht="12.75">
      <c r="A41" s="8"/>
      <c r="B41" s="47" t="s">
        <v>258</v>
      </c>
      <c r="C41" s="48"/>
      <c r="D41" s="48"/>
      <c r="E41" s="49"/>
      <c r="F41" s="43"/>
      <c r="G41" s="43"/>
      <c r="H41" s="43"/>
      <c r="I41" s="43"/>
      <c r="J41" s="43"/>
      <c r="K41" s="45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8"/>
      <c r="AA41" s="8"/>
    </row>
    <row r="42" spans="1:27" ht="12.75">
      <c r="A42" s="8"/>
      <c r="B42" s="50"/>
      <c r="C42" s="51"/>
      <c r="D42" s="51"/>
      <c r="E42" s="52"/>
      <c r="F42" s="44"/>
      <c r="G42" s="44"/>
      <c r="H42" s="44"/>
      <c r="I42" s="44"/>
      <c r="J42" s="44"/>
      <c r="K42" s="3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8"/>
      <c r="AA42" s="8"/>
    </row>
    <row r="43" spans="1:27" ht="15">
      <c r="A43" s="8"/>
      <c r="B43" s="40"/>
      <c r="C43" s="41"/>
      <c r="D43" s="41"/>
      <c r="E43" s="42"/>
      <c r="F43" s="17" t="s">
        <v>17</v>
      </c>
      <c r="G43" s="18">
        <f>COUNTIF(F41:G42,"✔")</f>
        <v>0</v>
      </c>
      <c r="H43" s="17" t="s">
        <v>18</v>
      </c>
      <c r="I43" s="18">
        <f>COUNTIF(H41:I42,"a")</f>
        <v>0</v>
      </c>
      <c r="J43" s="17" t="s">
        <v>17</v>
      </c>
      <c r="K43" s="18">
        <f>COUNTIF(J41:K42,"✔")</f>
        <v>0</v>
      </c>
      <c r="L43" s="17" t="s">
        <v>18</v>
      </c>
      <c r="M43" s="18">
        <f>COUNTIF(L41:M42,"a")</f>
        <v>0</v>
      </c>
      <c r="N43" s="17" t="s">
        <v>17</v>
      </c>
      <c r="O43" s="18">
        <f>COUNTIF(N41:O42,"✔")</f>
        <v>0</v>
      </c>
      <c r="P43" s="17" t="s">
        <v>18</v>
      </c>
      <c r="Q43" s="18">
        <f>COUNTIF(P41:Q42,"a")</f>
        <v>0</v>
      </c>
      <c r="R43" s="17" t="s">
        <v>17</v>
      </c>
      <c r="S43" s="18">
        <f>COUNTIF(R41:S42,"✔")</f>
        <v>0</v>
      </c>
      <c r="T43" s="17" t="s">
        <v>18</v>
      </c>
      <c r="U43" s="18">
        <f>COUNTIF(T41:U42,"a")</f>
        <v>0</v>
      </c>
      <c r="V43" s="17" t="s">
        <v>17</v>
      </c>
      <c r="W43" s="18">
        <f>COUNTIF(V41:W42,"✔")</f>
        <v>0</v>
      </c>
      <c r="X43" s="17" t="s">
        <v>18</v>
      </c>
      <c r="Y43" s="18">
        <f>COUNTIF(X41:Y42,"a")</f>
        <v>0</v>
      </c>
      <c r="Z43" s="8"/>
      <c r="AA43" s="8"/>
    </row>
    <row r="44" spans="1:27" ht="12.75">
      <c r="A44" s="8"/>
      <c r="B44" s="47" t="s">
        <v>259</v>
      </c>
      <c r="C44" s="48"/>
      <c r="D44" s="48"/>
      <c r="E44" s="49"/>
      <c r="F44" s="43"/>
      <c r="G44" s="43"/>
      <c r="H44" s="43"/>
      <c r="I44" s="43"/>
      <c r="J44" s="43"/>
      <c r="K44" s="45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8"/>
      <c r="AA44" s="8"/>
    </row>
    <row r="45" spans="1:27" ht="12.75">
      <c r="A45" s="8"/>
      <c r="B45" s="50"/>
      <c r="C45" s="51"/>
      <c r="D45" s="51"/>
      <c r="E45" s="52"/>
      <c r="F45" s="44"/>
      <c r="G45" s="44"/>
      <c r="H45" s="44"/>
      <c r="I45" s="44"/>
      <c r="J45" s="44"/>
      <c r="K45" s="3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8"/>
      <c r="AA45" s="8"/>
    </row>
    <row r="46" spans="1:27" ht="15">
      <c r="A46" s="8"/>
      <c r="B46" s="40"/>
      <c r="C46" s="41"/>
      <c r="D46" s="41"/>
      <c r="E46" s="42"/>
      <c r="F46" s="17" t="s">
        <v>17</v>
      </c>
      <c r="G46" s="18">
        <f>COUNTIF(F44:G45,"✔")</f>
        <v>0</v>
      </c>
      <c r="H46" s="17" t="s">
        <v>18</v>
      </c>
      <c r="I46" s="18">
        <f>COUNTIF(H44:I45,"a")</f>
        <v>0</v>
      </c>
      <c r="J46" s="17" t="s">
        <v>17</v>
      </c>
      <c r="K46" s="18">
        <f>COUNTIF(J44:K45,"✔")</f>
        <v>0</v>
      </c>
      <c r="L46" s="17" t="s">
        <v>18</v>
      </c>
      <c r="M46" s="18">
        <f>COUNTIF(L44:M45,"a")</f>
        <v>0</v>
      </c>
      <c r="N46" s="17" t="s">
        <v>17</v>
      </c>
      <c r="O46" s="18">
        <f>COUNTIF(N44:O45,"✔")</f>
        <v>0</v>
      </c>
      <c r="P46" s="17" t="s">
        <v>18</v>
      </c>
      <c r="Q46" s="18">
        <f>COUNTIF(P44:Q45,"a")</f>
        <v>0</v>
      </c>
      <c r="R46" s="17" t="s">
        <v>17</v>
      </c>
      <c r="S46" s="18">
        <f>COUNTIF(R44:S45,"✔")</f>
        <v>0</v>
      </c>
      <c r="T46" s="17" t="s">
        <v>18</v>
      </c>
      <c r="U46" s="18">
        <f>COUNTIF(T44:U45,"a")</f>
        <v>0</v>
      </c>
      <c r="V46" s="17" t="s">
        <v>17</v>
      </c>
      <c r="W46" s="18">
        <f>COUNTIF(V44:W45,"✔")</f>
        <v>0</v>
      </c>
      <c r="X46" s="17" t="s">
        <v>18</v>
      </c>
      <c r="Y46" s="18">
        <f>COUNTIF(X44:Y45,"a")</f>
        <v>0</v>
      </c>
      <c r="Z46" s="8"/>
      <c r="AA46" s="8"/>
    </row>
    <row r="47" spans="1:27" ht="12.75">
      <c r="A47" s="8"/>
      <c r="B47" s="47" t="s">
        <v>260</v>
      </c>
      <c r="C47" s="48"/>
      <c r="D47" s="48"/>
      <c r="E47" s="49"/>
      <c r="F47" s="43"/>
      <c r="G47" s="43"/>
      <c r="H47" s="43"/>
      <c r="I47" s="43"/>
      <c r="J47" s="43"/>
      <c r="K47" s="45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8"/>
      <c r="AA47" s="8"/>
    </row>
    <row r="48" spans="1:27" ht="12.75">
      <c r="A48" s="8"/>
      <c r="B48" s="50"/>
      <c r="C48" s="51"/>
      <c r="D48" s="51"/>
      <c r="E48" s="52"/>
      <c r="F48" s="44"/>
      <c r="G48" s="44"/>
      <c r="H48" s="44"/>
      <c r="I48" s="44"/>
      <c r="J48" s="44"/>
      <c r="K48" s="3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8"/>
      <c r="AA48" s="8"/>
    </row>
    <row r="49" spans="1:27" ht="15">
      <c r="A49" s="8"/>
      <c r="B49" s="40"/>
      <c r="C49" s="41"/>
      <c r="D49" s="41"/>
      <c r="E49" s="42"/>
      <c r="F49" s="17" t="s">
        <v>17</v>
      </c>
      <c r="G49" s="18">
        <f>COUNTIF(F47:G48,"✔")</f>
        <v>0</v>
      </c>
      <c r="H49" s="17" t="s">
        <v>18</v>
      </c>
      <c r="I49" s="18">
        <f>COUNTIF(H47:I48,"a")</f>
        <v>0</v>
      </c>
      <c r="J49" s="17" t="s">
        <v>17</v>
      </c>
      <c r="K49" s="18">
        <f>COUNTIF(J47:K48,"✔")</f>
        <v>0</v>
      </c>
      <c r="L49" s="17" t="s">
        <v>18</v>
      </c>
      <c r="M49" s="18">
        <f>COUNTIF(L47:M48,"a")</f>
        <v>0</v>
      </c>
      <c r="N49" s="17" t="s">
        <v>17</v>
      </c>
      <c r="O49" s="18">
        <f>COUNTIF(N47:O48,"✔")</f>
        <v>0</v>
      </c>
      <c r="P49" s="17" t="s">
        <v>18</v>
      </c>
      <c r="Q49" s="18">
        <f>COUNTIF(P47:Q48,"a")</f>
        <v>0</v>
      </c>
      <c r="R49" s="17" t="s">
        <v>17</v>
      </c>
      <c r="S49" s="18">
        <f>COUNTIF(R47:S48,"✔")</f>
        <v>0</v>
      </c>
      <c r="T49" s="17" t="s">
        <v>18</v>
      </c>
      <c r="U49" s="18">
        <f>COUNTIF(T47:U48,"a")</f>
        <v>0</v>
      </c>
      <c r="V49" s="17" t="s">
        <v>17</v>
      </c>
      <c r="W49" s="18">
        <f>COUNTIF(V47:W48,"✔")</f>
        <v>0</v>
      </c>
      <c r="X49" s="17" t="s">
        <v>18</v>
      </c>
      <c r="Y49" s="18">
        <f>COUNTIF(X47:Y48,"a")</f>
        <v>0</v>
      </c>
      <c r="Z49" s="8"/>
      <c r="AA49" s="8"/>
    </row>
    <row r="50" spans="1:27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</sheetData>
  <mergeCells count="318">
    <mergeCell ref="B49:E49"/>
    <mergeCell ref="R47:R48"/>
    <mergeCell ref="S47:S48"/>
    <mergeCell ref="T47:T48"/>
    <mergeCell ref="U47:U48"/>
    <mergeCell ref="V47:V48"/>
    <mergeCell ref="W47:W48"/>
    <mergeCell ref="X47:X48"/>
    <mergeCell ref="Y47:Y48"/>
    <mergeCell ref="K47:K48"/>
    <mergeCell ref="L47:L48"/>
    <mergeCell ref="M47:M48"/>
    <mergeCell ref="N47:N48"/>
    <mergeCell ref="O47:O48"/>
    <mergeCell ref="P47:P48"/>
    <mergeCell ref="Q47:Q48"/>
    <mergeCell ref="B43:E43"/>
    <mergeCell ref="B44:E45"/>
    <mergeCell ref="F44:F45"/>
    <mergeCell ref="G44:G45"/>
    <mergeCell ref="H44:H45"/>
    <mergeCell ref="I44:I45"/>
    <mergeCell ref="J44:J45"/>
    <mergeCell ref="B46:E46"/>
    <mergeCell ref="B47:E48"/>
    <mergeCell ref="F47:F48"/>
    <mergeCell ref="G47:G48"/>
    <mergeCell ref="H47:H48"/>
    <mergeCell ref="I47:I48"/>
    <mergeCell ref="J47:J48"/>
    <mergeCell ref="R44:R45"/>
    <mergeCell ref="S44:S45"/>
    <mergeCell ref="T44:T45"/>
    <mergeCell ref="U44:U45"/>
    <mergeCell ref="V44:V45"/>
    <mergeCell ref="W44:W45"/>
    <mergeCell ref="X44:X45"/>
    <mergeCell ref="Y44:Y45"/>
    <mergeCell ref="K44:K45"/>
    <mergeCell ref="L44:L45"/>
    <mergeCell ref="M44:M45"/>
    <mergeCell ref="N44:N45"/>
    <mergeCell ref="O44:O45"/>
    <mergeCell ref="P44:P45"/>
    <mergeCell ref="Q44:Q45"/>
    <mergeCell ref="B37:E37"/>
    <mergeCell ref="B38:E39"/>
    <mergeCell ref="F38:F39"/>
    <mergeCell ref="G38:G39"/>
    <mergeCell ref="H38:H39"/>
    <mergeCell ref="I38:I39"/>
    <mergeCell ref="J38:J39"/>
    <mergeCell ref="B40:E40"/>
    <mergeCell ref="B41:E42"/>
    <mergeCell ref="F41:F42"/>
    <mergeCell ref="G41:G42"/>
    <mergeCell ref="H41:H42"/>
    <mergeCell ref="I41:I42"/>
    <mergeCell ref="J41:J42"/>
    <mergeCell ref="B25:E25"/>
    <mergeCell ref="B26:E27"/>
    <mergeCell ref="F26:F27"/>
    <mergeCell ref="G26:G27"/>
    <mergeCell ref="H26:H27"/>
    <mergeCell ref="I26:I27"/>
    <mergeCell ref="J26:J27"/>
    <mergeCell ref="B28:E28"/>
    <mergeCell ref="B29:E30"/>
    <mergeCell ref="F29:F30"/>
    <mergeCell ref="G29:G30"/>
    <mergeCell ref="H29:H30"/>
    <mergeCell ref="I29:I30"/>
    <mergeCell ref="J29:J30"/>
    <mergeCell ref="R23:R24"/>
    <mergeCell ref="S23:S24"/>
    <mergeCell ref="T23:T24"/>
    <mergeCell ref="U23:U24"/>
    <mergeCell ref="V23:V24"/>
    <mergeCell ref="W23:W24"/>
    <mergeCell ref="X23:X24"/>
    <mergeCell ref="Y23:Y24"/>
    <mergeCell ref="K23:K24"/>
    <mergeCell ref="L23:L24"/>
    <mergeCell ref="M23:M24"/>
    <mergeCell ref="N23:N24"/>
    <mergeCell ref="O23:O24"/>
    <mergeCell ref="P23:P24"/>
    <mergeCell ref="Q23:Q24"/>
    <mergeCell ref="R20:R21"/>
    <mergeCell ref="S20:S21"/>
    <mergeCell ref="T20:T21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13:E13"/>
    <mergeCell ref="B14:E15"/>
    <mergeCell ref="F14:F15"/>
    <mergeCell ref="G14:G15"/>
    <mergeCell ref="H14:H15"/>
    <mergeCell ref="I14:I15"/>
    <mergeCell ref="J14:J15"/>
    <mergeCell ref="R17:R18"/>
    <mergeCell ref="S17:S18"/>
    <mergeCell ref="B16:E16"/>
    <mergeCell ref="B17:E18"/>
    <mergeCell ref="F17:F18"/>
    <mergeCell ref="G17:G18"/>
    <mergeCell ref="H17:H18"/>
    <mergeCell ref="I17:I18"/>
    <mergeCell ref="J17:J18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L11:L12"/>
    <mergeCell ref="M11:M12"/>
    <mergeCell ref="N11:N12"/>
    <mergeCell ref="O11:O12"/>
    <mergeCell ref="P11:P12"/>
    <mergeCell ref="Q11:Q12"/>
    <mergeCell ref="T11:T12"/>
    <mergeCell ref="T14:T15"/>
    <mergeCell ref="U14:U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K11:K12"/>
    <mergeCell ref="R41:R42"/>
    <mergeCell ref="S41:S42"/>
    <mergeCell ref="T41:T42"/>
    <mergeCell ref="U41:U42"/>
    <mergeCell ref="V41:V42"/>
    <mergeCell ref="W41:W42"/>
    <mergeCell ref="X41:X42"/>
    <mergeCell ref="Y41:Y42"/>
    <mergeCell ref="K41:K42"/>
    <mergeCell ref="L41:L42"/>
    <mergeCell ref="M41:M42"/>
    <mergeCell ref="N41:N42"/>
    <mergeCell ref="O41:O42"/>
    <mergeCell ref="P41:P42"/>
    <mergeCell ref="Q41:Q42"/>
    <mergeCell ref="R38:R39"/>
    <mergeCell ref="S38:S39"/>
    <mergeCell ref="T38:T39"/>
    <mergeCell ref="U38:U39"/>
    <mergeCell ref="V38:V39"/>
    <mergeCell ref="W38:W39"/>
    <mergeCell ref="X38:X39"/>
    <mergeCell ref="Y38:Y39"/>
    <mergeCell ref="K38:K39"/>
    <mergeCell ref="L38:L39"/>
    <mergeCell ref="M38:M39"/>
    <mergeCell ref="N38:N39"/>
    <mergeCell ref="O38:O39"/>
    <mergeCell ref="P38:P39"/>
    <mergeCell ref="Q38:Q39"/>
    <mergeCell ref="T35:T36"/>
    <mergeCell ref="U35:U36"/>
    <mergeCell ref="V35:V36"/>
    <mergeCell ref="W35:W36"/>
    <mergeCell ref="X35:X36"/>
    <mergeCell ref="Y35:Y36"/>
    <mergeCell ref="K35:K36"/>
    <mergeCell ref="L35:L36"/>
    <mergeCell ref="M35:M36"/>
    <mergeCell ref="N35:N36"/>
    <mergeCell ref="O35:O36"/>
    <mergeCell ref="P35:P36"/>
    <mergeCell ref="Q35:Q36"/>
    <mergeCell ref="B31:E31"/>
    <mergeCell ref="B32:E33"/>
    <mergeCell ref="F32:F33"/>
    <mergeCell ref="G32:G33"/>
    <mergeCell ref="H32:H33"/>
    <mergeCell ref="I32:I33"/>
    <mergeCell ref="J32:J33"/>
    <mergeCell ref="R35:R36"/>
    <mergeCell ref="S35:S36"/>
    <mergeCell ref="B34:E34"/>
    <mergeCell ref="B35:E36"/>
    <mergeCell ref="F35:F36"/>
    <mergeCell ref="G35:G36"/>
    <mergeCell ref="H35:H36"/>
    <mergeCell ref="I35:I36"/>
    <mergeCell ref="J35:J36"/>
    <mergeCell ref="R32:R33"/>
    <mergeCell ref="S32:S33"/>
    <mergeCell ref="K32:K33"/>
    <mergeCell ref="L32:L33"/>
    <mergeCell ref="M32:M33"/>
    <mergeCell ref="N32:N33"/>
    <mergeCell ref="O32:O33"/>
    <mergeCell ref="P32:P33"/>
    <mergeCell ref="U32:U33"/>
    <mergeCell ref="V32:V33"/>
    <mergeCell ref="W32:W33"/>
    <mergeCell ref="X32:X33"/>
    <mergeCell ref="Y32:Y33"/>
    <mergeCell ref="R29:R30"/>
    <mergeCell ref="S29:S30"/>
    <mergeCell ref="U29:U30"/>
    <mergeCell ref="V29:V30"/>
    <mergeCell ref="W29:W30"/>
    <mergeCell ref="X29:X30"/>
    <mergeCell ref="Y29:Y30"/>
    <mergeCell ref="K29:K30"/>
    <mergeCell ref="L29:L30"/>
    <mergeCell ref="M29:M30"/>
    <mergeCell ref="N29:N30"/>
    <mergeCell ref="O29:O30"/>
    <mergeCell ref="P29:P30"/>
    <mergeCell ref="Q29:Q30"/>
    <mergeCell ref="T29:T30"/>
    <mergeCell ref="T32:T33"/>
    <mergeCell ref="Q32:Q33"/>
    <mergeCell ref="R26:R27"/>
    <mergeCell ref="S26:S27"/>
    <mergeCell ref="T26:T27"/>
    <mergeCell ref="U26:U27"/>
    <mergeCell ref="V26:V27"/>
    <mergeCell ref="W26:W27"/>
    <mergeCell ref="X26:X27"/>
    <mergeCell ref="Y26:Y27"/>
    <mergeCell ref="K26:K27"/>
    <mergeCell ref="L26:L27"/>
    <mergeCell ref="M26:M27"/>
    <mergeCell ref="N26:N27"/>
    <mergeCell ref="O26:O27"/>
    <mergeCell ref="P26:P27"/>
    <mergeCell ref="Q26:Q27"/>
    <mergeCell ref="B19:E19"/>
    <mergeCell ref="B20:E21"/>
    <mergeCell ref="F20:F21"/>
    <mergeCell ref="G20:G21"/>
    <mergeCell ref="H20:H21"/>
    <mergeCell ref="I20:I21"/>
    <mergeCell ref="J20:J21"/>
    <mergeCell ref="B22:E22"/>
    <mergeCell ref="B23:E24"/>
    <mergeCell ref="F23:F24"/>
    <mergeCell ref="G23:G24"/>
    <mergeCell ref="H23:H24"/>
    <mergeCell ref="I23:I24"/>
    <mergeCell ref="J23:J24"/>
  </mergeCells>
  <conditionalFormatting sqref="F8:Y9 F11:Y12 F14:Y15 F17:Y18 F20:Y21 F23:Y24 F26:Y27 F29:Y30 F32:Y33 F35:Y36 F38:Y39 F41:Y42 F44:Y45 F47:Y48">
    <cfRule type="cellIs" dxfId="29" priority="1" operator="equal">
      <formula>"✔"</formula>
    </cfRule>
    <cfRule type="cellIs" dxfId="28" priority="2" operator="equal">
      <formula>"S"</formula>
    </cfRule>
    <cfRule type="cellIs" dxfId="27" priority="3" operator="equal">
      <formula>"P"</formula>
    </cfRule>
    <cfRule type="cellIs" dxfId="26" priority="4" operator="equal">
      <formula>"V"</formula>
    </cfRule>
    <cfRule type="cellIs" dxfId="25" priority="5" operator="equal">
      <formula>"X"</formula>
    </cfRule>
    <cfRule type="cellIs" dxfId="24" priority="6" operator="equal">
      <formula>"H"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517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261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184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185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262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187</v>
      </c>
      <c r="C17" s="48"/>
      <c r="D17" s="48"/>
      <c r="E17" s="49"/>
      <c r="F17" s="43"/>
      <c r="G17" s="43"/>
      <c r="H17" s="4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44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188</v>
      </c>
      <c r="C20" s="48"/>
      <c r="D20" s="48"/>
      <c r="E20" s="49"/>
      <c r="F20" s="43"/>
      <c r="G20" s="43"/>
      <c r="H20" s="43"/>
      <c r="I20" s="43"/>
      <c r="J20" s="43"/>
      <c r="K20" s="45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44"/>
      <c r="I21" s="44"/>
      <c r="J21" s="44"/>
      <c r="K21" s="3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2.7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2.7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</sheetData>
  <mergeCells count="120"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L11:L12"/>
    <mergeCell ref="M11:M12"/>
    <mergeCell ref="N11:N12"/>
    <mergeCell ref="O11:O12"/>
    <mergeCell ref="P11:P12"/>
    <mergeCell ref="Q11:Q12"/>
    <mergeCell ref="T11:T12"/>
    <mergeCell ref="T14:T15"/>
    <mergeCell ref="U14:U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S20:S21"/>
    <mergeCell ref="T20:T21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B19:E19"/>
    <mergeCell ref="B20:E21"/>
    <mergeCell ref="F20:F21"/>
    <mergeCell ref="G20:G21"/>
    <mergeCell ref="H20:H21"/>
    <mergeCell ref="I20:I21"/>
    <mergeCell ref="J20:J21"/>
    <mergeCell ref="B22:E22"/>
    <mergeCell ref="R20:R21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13:E13"/>
    <mergeCell ref="B14:E15"/>
    <mergeCell ref="F14:F15"/>
    <mergeCell ref="G14:G15"/>
    <mergeCell ref="H14:H15"/>
    <mergeCell ref="I14:I15"/>
    <mergeCell ref="J14:J15"/>
    <mergeCell ref="R17:R18"/>
    <mergeCell ref="S17:S18"/>
    <mergeCell ref="B16:E16"/>
    <mergeCell ref="B17:E18"/>
    <mergeCell ref="F17:F18"/>
    <mergeCell ref="G17:G18"/>
    <mergeCell ref="H17:H18"/>
    <mergeCell ref="I17:I18"/>
    <mergeCell ref="J17:J18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K11:K12"/>
  </mergeCells>
  <conditionalFormatting sqref="F8:Y9 F11:Y12 F14:Y15 F17:Y18 F20:Y21">
    <cfRule type="cellIs" dxfId="23" priority="1" operator="equal">
      <formula>"✔"</formula>
    </cfRule>
    <cfRule type="cellIs" dxfId="22" priority="2" operator="equal">
      <formula>"S"</formula>
    </cfRule>
    <cfRule type="cellIs" dxfId="21" priority="3" operator="equal">
      <formula>"P"</formula>
    </cfRule>
    <cfRule type="cellIs" dxfId="20" priority="4" operator="equal">
      <formula>"V"</formula>
    </cfRule>
    <cfRule type="cellIs" dxfId="19" priority="5" operator="equal">
      <formula>"X"</formula>
    </cfRule>
    <cfRule type="cellIs" dxfId="18" priority="6" operator="equal">
      <formula>"H"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500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263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189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190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264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191</v>
      </c>
      <c r="C17" s="48"/>
      <c r="D17" s="48"/>
      <c r="E17" s="49"/>
      <c r="F17" s="43"/>
      <c r="G17" s="43"/>
      <c r="H17" s="4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44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192</v>
      </c>
      <c r="C20" s="48"/>
      <c r="D20" s="48"/>
      <c r="E20" s="49"/>
      <c r="F20" s="43"/>
      <c r="G20" s="43"/>
      <c r="H20" s="43"/>
      <c r="I20" s="43"/>
      <c r="J20" s="43"/>
      <c r="K20" s="45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44"/>
      <c r="I21" s="44"/>
      <c r="J21" s="44"/>
      <c r="K21" s="3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193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40"/>
      <c r="C25" s="41"/>
      <c r="D25" s="41"/>
      <c r="E25" s="42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2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2.7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2.7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2.7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2.7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</sheetData>
  <mergeCells count="142">
    <mergeCell ref="S23:S24"/>
    <mergeCell ref="T23:T24"/>
    <mergeCell ref="U23:U24"/>
    <mergeCell ref="V23:V24"/>
    <mergeCell ref="W23:W24"/>
    <mergeCell ref="X23:X24"/>
    <mergeCell ref="Y23:Y24"/>
    <mergeCell ref="K23:K24"/>
    <mergeCell ref="L23:L24"/>
    <mergeCell ref="M23:M24"/>
    <mergeCell ref="N23:N24"/>
    <mergeCell ref="O23:O24"/>
    <mergeCell ref="P23:P24"/>
    <mergeCell ref="Q23:Q24"/>
    <mergeCell ref="S20:S21"/>
    <mergeCell ref="T20:T21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S17:S18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25:E25"/>
    <mergeCell ref="B13:E13"/>
    <mergeCell ref="B14:E15"/>
    <mergeCell ref="F14:F15"/>
    <mergeCell ref="G14:G15"/>
    <mergeCell ref="H14:H15"/>
    <mergeCell ref="I14:I15"/>
    <mergeCell ref="J14:J15"/>
    <mergeCell ref="R17:R18"/>
    <mergeCell ref="B16:E16"/>
    <mergeCell ref="B17:E18"/>
    <mergeCell ref="F17:F18"/>
    <mergeCell ref="G17:G18"/>
    <mergeCell ref="H17:H18"/>
    <mergeCell ref="I17:I18"/>
    <mergeCell ref="J17:J18"/>
    <mergeCell ref="R20:R21"/>
    <mergeCell ref="R23:R24"/>
    <mergeCell ref="B19:E19"/>
    <mergeCell ref="B20:E21"/>
    <mergeCell ref="F20:F21"/>
    <mergeCell ref="G20:G21"/>
    <mergeCell ref="H20:H21"/>
    <mergeCell ref="I20:I21"/>
    <mergeCell ref="J20:J21"/>
    <mergeCell ref="B22:E22"/>
    <mergeCell ref="B23:E24"/>
    <mergeCell ref="F23:F24"/>
    <mergeCell ref="G23:G24"/>
    <mergeCell ref="H23:H24"/>
    <mergeCell ref="I23:I24"/>
    <mergeCell ref="J23:J24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L11:L12"/>
    <mergeCell ref="M11:M12"/>
    <mergeCell ref="N11:N12"/>
    <mergeCell ref="O11:O12"/>
    <mergeCell ref="P11:P12"/>
    <mergeCell ref="Q11:Q12"/>
    <mergeCell ref="T11:T12"/>
    <mergeCell ref="T14:T15"/>
    <mergeCell ref="U14:U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K11:K12"/>
  </mergeCells>
  <conditionalFormatting sqref="F8:Y9 F11:Y12 F14:Y15 F17:Y18 F20:Y21 F23:Y24">
    <cfRule type="cellIs" dxfId="17" priority="1" operator="equal">
      <formula>"✔"</formula>
    </cfRule>
    <cfRule type="cellIs" dxfId="16" priority="2" operator="equal">
      <formula>"S"</formula>
    </cfRule>
    <cfRule type="cellIs" dxfId="15" priority="3" operator="equal">
      <formula>"P"</formula>
    </cfRule>
    <cfRule type="cellIs" dxfId="14" priority="4" operator="equal">
      <formula>"V"</formula>
    </cfRule>
    <cfRule type="cellIs" dxfId="13" priority="5" operator="equal">
      <formula>"X"</formula>
    </cfRule>
    <cfRule type="cellIs" dxfId="12" priority="6" operator="equal">
      <formula>"H"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521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265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194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195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266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196</v>
      </c>
      <c r="C17" s="48"/>
      <c r="D17" s="48"/>
      <c r="E17" s="49"/>
      <c r="F17" s="43"/>
      <c r="G17" s="43"/>
      <c r="H17" s="5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36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224</v>
      </c>
      <c r="C20" s="48"/>
      <c r="D20" s="48"/>
      <c r="E20" s="49"/>
      <c r="F20" s="43"/>
      <c r="G20" s="43"/>
      <c r="H20" s="53"/>
      <c r="I20" s="43"/>
      <c r="J20" s="43"/>
      <c r="K20" s="45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36"/>
      <c r="I21" s="44"/>
      <c r="J21" s="44"/>
      <c r="K21" s="3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197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40"/>
      <c r="C25" s="41"/>
      <c r="D25" s="41"/>
      <c r="E25" s="42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47" t="s">
        <v>198</v>
      </c>
      <c r="C26" s="48"/>
      <c r="D26" s="48"/>
      <c r="E26" s="49"/>
      <c r="F26" s="43"/>
      <c r="G26" s="43"/>
      <c r="H26" s="53"/>
      <c r="I26" s="43"/>
      <c r="J26" s="43"/>
      <c r="K26" s="45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8"/>
      <c r="AA26" s="8"/>
    </row>
    <row r="27" spans="1:27" ht="12.75">
      <c r="A27" s="8"/>
      <c r="B27" s="50"/>
      <c r="C27" s="51"/>
      <c r="D27" s="51"/>
      <c r="E27" s="52"/>
      <c r="F27" s="44"/>
      <c r="G27" s="44"/>
      <c r="H27" s="36"/>
      <c r="I27" s="44"/>
      <c r="J27" s="44"/>
      <c r="K27" s="3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8"/>
      <c r="AA27" s="8"/>
    </row>
    <row r="28" spans="1:27" ht="15">
      <c r="A28" s="8"/>
      <c r="B28" s="40"/>
      <c r="C28" s="41"/>
      <c r="D28" s="41"/>
      <c r="E28" s="42"/>
      <c r="F28" s="17" t="s">
        <v>17</v>
      </c>
      <c r="G28" s="18">
        <f>COUNTIF(F26:G27,"✔")</f>
        <v>0</v>
      </c>
      <c r="H28" s="17" t="s">
        <v>18</v>
      </c>
      <c r="I28" s="18">
        <f>COUNTIF(H26:I27,"a")</f>
        <v>0</v>
      </c>
      <c r="J28" s="17" t="s">
        <v>17</v>
      </c>
      <c r="K28" s="18">
        <f>COUNTIF(J26:K27,"✔")</f>
        <v>0</v>
      </c>
      <c r="L28" s="17" t="s">
        <v>18</v>
      </c>
      <c r="M28" s="18">
        <f>COUNTIF(L26:M27,"a")</f>
        <v>0</v>
      </c>
      <c r="N28" s="17" t="s">
        <v>17</v>
      </c>
      <c r="O28" s="18">
        <f>COUNTIF(N26:O27,"✔")</f>
        <v>0</v>
      </c>
      <c r="P28" s="17" t="s">
        <v>18</v>
      </c>
      <c r="Q28" s="18">
        <f>COUNTIF(P26:Q27,"a")</f>
        <v>0</v>
      </c>
      <c r="R28" s="17" t="s">
        <v>17</v>
      </c>
      <c r="S28" s="18">
        <f>COUNTIF(R26:S27,"✔")</f>
        <v>0</v>
      </c>
      <c r="T28" s="17" t="s">
        <v>18</v>
      </c>
      <c r="U28" s="18">
        <f>COUNTIF(T26:U27,"a")</f>
        <v>0</v>
      </c>
      <c r="V28" s="17" t="s">
        <v>17</v>
      </c>
      <c r="W28" s="18">
        <f>COUNTIF(V26:W27,"✔")</f>
        <v>0</v>
      </c>
      <c r="X28" s="17" t="s">
        <v>18</v>
      </c>
      <c r="Y28" s="18">
        <f>COUNTIF(X26:Y27,"a")</f>
        <v>0</v>
      </c>
      <c r="Z28" s="8"/>
      <c r="AA28" s="8"/>
    </row>
    <row r="29" spans="1:27" ht="12.75">
      <c r="A29" s="8"/>
      <c r="B29" s="47" t="s">
        <v>199</v>
      </c>
      <c r="C29" s="48"/>
      <c r="D29" s="48"/>
      <c r="E29" s="49"/>
      <c r="F29" s="43"/>
      <c r="G29" s="43"/>
      <c r="H29" s="43"/>
      <c r="I29" s="43"/>
      <c r="J29" s="43"/>
      <c r="K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8"/>
      <c r="AA29" s="8"/>
    </row>
    <row r="30" spans="1:27" ht="12.75">
      <c r="A30" s="8"/>
      <c r="B30" s="50"/>
      <c r="C30" s="51"/>
      <c r="D30" s="51"/>
      <c r="E30" s="52"/>
      <c r="F30" s="44"/>
      <c r="G30" s="44"/>
      <c r="H30" s="44"/>
      <c r="I30" s="44"/>
      <c r="J30" s="44"/>
      <c r="K30" s="3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8"/>
      <c r="AA30" s="8"/>
    </row>
    <row r="31" spans="1:27" ht="15">
      <c r="A31" s="8"/>
      <c r="B31" s="40"/>
      <c r="C31" s="41"/>
      <c r="D31" s="41"/>
      <c r="E31" s="42"/>
      <c r="F31" s="17" t="s">
        <v>17</v>
      </c>
      <c r="G31" s="18">
        <f>COUNTIF(F29:G30,"✔")</f>
        <v>0</v>
      </c>
      <c r="H31" s="17" t="s">
        <v>18</v>
      </c>
      <c r="I31" s="18">
        <f>COUNTIF(H29:I30,"a")</f>
        <v>0</v>
      </c>
      <c r="J31" s="17" t="s">
        <v>17</v>
      </c>
      <c r="K31" s="18">
        <f>COUNTIF(J29:K30,"✔")</f>
        <v>0</v>
      </c>
      <c r="L31" s="17" t="s">
        <v>18</v>
      </c>
      <c r="M31" s="18">
        <f>COUNTIF(L29:M30,"a")</f>
        <v>0</v>
      </c>
      <c r="N31" s="17" t="s">
        <v>17</v>
      </c>
      <c r="O31" s="18">
        <f>COUNTIF(N29:O30,"✔")</f>
        <v>0</v>
      </c>
      <c r="P31" s="17" t="s">
        <v>18</v>
      </c>
      <c r="Q31" s="18">
        <f>COUNTIF(P29:Q30,"a")</f>
        <v>0</v>
      </c>
      <c r="R31" s="17" t="s">
        <v>17</v>
      </c>
      <c r="S31" s="18">
        <f>COUNTIF(R29:S30,"✔")</f>
        <v>0</v>
      </c>
      <c r="T31" s="17" t="s">
        <v>18</v>
      </c>
      <c r="U31" s="18">
        <f>COUNTIF(T29:U30,"a")</f>
        <v>0</v>
      </c>
      <c r="V31" s="17" t="s">
        <v>17</v>
      </c>
      <c r="W31" s="18">
        <f>COUNTIF(V29:W30,"✔")</f>
        <v>0</v>
      </c>
      <c r="X31" s="17" t="s">
        <v>18</v>
      </c>
      <c r="Y31" s="18">
        <f>COUNTIF(X29:Y30,"a")</f>
        <v>0</v>
      </c>
      <c r="Z31" s="8"/>
      <c r="AA31" s="8"/>
    </row>
    <row r="32" spans="1:27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2.7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2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2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2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2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2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2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2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2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2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2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2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2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2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2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2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2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2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2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2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2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2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2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2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2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2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2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</sheetData>
  <mergeCells count="186">
    <mergeCell ref="R23:R24"/>
    <mergeCell ref="S23:S24"/>
    <mergeCell ref="T23:T24"/>
    <mergeCell ref="U23:U24"/>
    <mergeCell ref="V23:V24"/>
    <mergeCell ref="W23:W24"/>
    <mergeCell ref="X23:X24"/>
    <mergeCell ref="Y23:Y24"/>
    <mergeCell ref="K23:K24"/>
    <mergeCell ref="L23:L24"/>
    <mergeCell ref="M23:M24"/>
    <mergeCell ref="N23:N24"/>
    <mergeCell ref="O23:O24"/>
    <mergeCell ref="P23:P24"/>
    <mergeCell ref="Q23:Q24"/>
    <mergeCell ref="R20:R21"/>
    <mergeCell ref="S20:S21"/>
    <mergeCell ref="T20:T21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13:E13"/>
    <mergeCell ref="B14:E15"/>
    <mergeCell ref="F14:F15"/>
    <mergeCell ref="G14:G15"/>
    <mergeCell ref="H14:H15"/>
    <mergeCell ref="I14:I15"/>
    <mergeCell ref="J14:J15"/>
    <mergeCell ref="R17:R18"/>
    <mergeCell ref="S17:S18"/>
    <mergeCell ref="B16:E16"/>
    <mergeCell ref="B17:E18"/>
    <mergeCell ref="F17:F18"/>
    <mergeCell ref="G17:G18"/>
    <mergeCell ref="H17:H18"/>
    <mergeCell ref="I17:I18"/>
    <mergeCell ref="J17:J18"/>
    <mergeCell ref="B31:E31"/>
    <mergeCell ref="R29:R30"/>
    <mergeCell ref="S29:S30"/>
    <mergeCell ref="T29:T30"/>
    <mergeCell ref="U29:U30"/>
    <mergeCell ref="V29:V30"/>
    <mergeCell ref="W29:W30"/>
    <mergeCell ref="X29:X30"/>
    <mergeCell ref="Y29:Y30"/>
    <mergeCell ref="K29:K30"/>
    <mergeCell ref="L29:L30"/>
    <mergeCell ref="M29:M30"/>
    <mergeCell ref="N29:N30"/>
    <mergeCell ref="O29:O30"/>
    <mergeCell ref="P29:P30"/>
    <mergeCell ref="Q29:Q30"/>
    <mergeCell ref="B25:E25"/>
    <mergeCell ref="B26:E27"/>
    <mergeCell ref="F26:F27"/>
    <mergeCell ref="G26:G27"/>
    <mergeCell ref="H26:H27"/>
    <mergeCell ref="I26:I27"/>
    <mergeCell ref="J26:J27"/>
    <mergeCell ref="B28:E28"/>
    <mergeCell ref="B29:E30"/>
    <mergeCell ref="F29:F30"/>
    <mergeCell ref="G29:G30"/>
    <mergeCell ref="H29:H30"/>
    <mergeCell ref="I29:I30"/>
    <mergeCell ref="J29:J30"/>
    <mergeCell ref="R26:R27"/>
    <mergeCell ref="S26:S27"/>
    <mergeCell ref="T26:T27"/>
    <mergeCell ref="U26:U27"/>
    <mergeCell ref="V26:V27"/>
    <mergeCell ref="W26:W27"/>
    <mergeCell ref="X26:X27"/>
    <mergeCell ref="Y26:Y27"/>
    <mergeCell ref="K26:K27"/>
    <mergeCell ref="L26:L27"/>
    <mergeCell ref="M26:M27"/>
    <mergeCell ref="N26:N27"/>
    <mergeCell ref="O26:O27"/>
    <mergeCell ref="P26:P27"/>
    <mergeCell ref="Q26:Q27"/>
    <mergeCell ref="B19:E19"/>
    <mergeCell ref="B20:E21"/>
    <mergeCell ref="F20:F21"/>
    <mergeCell ref="G20:G21"/>
    <mergeCell ref="H20:H21"/>
    <mergeCell ref="I20:I21"/>
    <mergeCell ref="J20:J21"/>
    <mergeCell ref="B22:E22"/>
    <mergeCell ref="B23:E24"/>
    <mergeCell ref="F23:F24"/>
    <mergeCell ref="G23:G24"/>
    <mergeCell ref="H23:H24"/>
    <mergeCell ref="I23:I24"/>
    <mergeCell ref="J23:J24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L11:L12"/>
    <mergeCell ref="M11:M12"/>
    <mergeCell ref="N11:N12"/>
    <mergeCell ref="O11:O12"/>
    <mergeCell ref="P11:P12"/>
    <mergeCell ref="Q11:Q12"/>
    <mergeCell ref="T11:T12"/>
    <mergeCell ref="T14:T15"/>
    <mergeCell ref="U14:U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K11:K12"/>
  </mergeCells>
  <conditionalFormatting sqref="F8:Y9 F11:Y12 F14:Y15 F17:G18 I17:Y18 F20:G21 I20:Y21 F23:Y24 F26:G27 I26:Y27 F29:Y30">
    <cfRule type="cellIs" dxfId="11" priority="1" operator="equal">
      <formula>"✔"</formula>
    </cfRule>
    <cfRule type="cellIs" dxfId="10" priority="2" operator="equal">
      <formula>"S"</formula>
    </cfRule>
    <cfRule type="cellIs" dxfId="9" priority="3" operator="equal">
      <formula>"P"</formula>
    </cfRule>
    <cfRule type="cellIs" dxfId="8" priority="4" operator="equal">
      <formula>"V"</formula>
    </cfRule>
    <cfRule type="cellIs" dxfId="7" priority="5" operator="equal">
      <formula>"X"</formula>
    </cfRule>
    <cfRule type="cellIs" dxfId="6" priority="6" operator="equal">
      <formula>"H"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586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9765625" defaultRowHeight="15.75" customHeight="1"/>
  <cols>
    <col min="1" max="1" width="3.46484375" customWidth="1"/>
    <col min="2" max="2" width="26" customWidth="1"/>
    <col min="5" max="5" width="20.3984375" customWidth="1"/>
    <col min="8" max="8" width="14.73046875" customWidth="1"/>
    <col min="9" max="9" width="12.59765625" customWidth="1"/>
    <col min="10" max="10" width="15.46484375" customWidth="1"/>
    <col min="11" max="11" width="13.265625" customWidth="1"/>
    <col min="12" max="12" width="14" customWidth="1"/>
    <col min="14" max="14" width="13.86328125" customWidth="1"/>
    <col min="15" max="15" width="13.46484375" customWidth="1"/>
  </cols>
  <sheetData>
    <row r="1" spans="1:27" ht="47.25" customHeight="1">
      <c r="A1" s="26"/>
      <c r="B1" s="69" t="s">
        <v>248</v>
      </c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2.75">
      <c r="A2" s="8"/>
      <c r="C2" s="8"/>
      <c r="D2" s="9"/>
      <c r="E2" s="8"/>
      <c r="I2" s="8"/>
      <c r="J2" s="10" t="s">
        <v>267</v>
      </c>
      <c r="K2" s="8"/>
      <c r="L2" s="9" t="s">
        <v>7</v>
      </c>
      <c r="M2" s="8"/>
      <c r="N2" s="8"/>
      <c r="O2" s="8"/>
      <c r="P2" s="11"/>
      <c r="Q2" s="11"/>
      <c r="R2" s="11"/>
      <c r="S2" s="11"/>
      <c r="T2" s="11"/>
      <c r="U2" s="11"/>
      <c r="V2" s="11"/>
      <c r="W2" s="8"/>
      <c r="X2" s="8"/>
      <c r="Y2" s="8"/>
      <c r="Z2" s="8"/>
      <c r="AA2" s="8"/>
    </row>
    <row r="3" spans="1:27" ht="12.75">
      <c r="A3" s="8"/>
      <c r="C3" s="12"/>
      <c r="D3" s="53"/>
      <c r="E3" s="12"/>
      <c r="I3" s="14"/>
      <c r="J3" s="70" t="s">
        <v>8</v>
      </c>
      <c r="K3" s="12"/>
      <c r="L3" s="46" t="s">
        <v>9</v>
      </c>
      <c r="M3" s="8"/>
      <c r="N3" s="8"/>
      <c r="O3" s="8"/>
      <c r="P3" s="11"/>
      <c r="Q3" s="11"/>
      <c r="R3" s="11"/>
      <c r="S3" s="11"/>
      <c r="T3" s="11"/>
      <c r="U3" s="11"/>
      <c r="V3" s="11"/>
      <c r="W3" s="8"/>
      <c r="X3" s="8"/>
      <c r="Y3" s="8"/>
      <c r="Z3" s="8"/>
      <c r="AA3" s="8"/>
    </row>
    <row r="4" spans="1:27" ht="12.75">
      <c r="A4" s="8"/>
      <c r="C4" s="12"/>
      <c r="D4" s="36"/>
      <c r="E4" s="12"/>
      <c r="I4" s="14"/>
      <c r="J4" s="36"/>
      <c r="K4" s="12"/>
      <c r="L4" s="36"/>
      <c r="M4" s="8"/>
      <c r="N4" s="8"/>
      <c r="O4" s="8"/>
      <c r="P4" s="11"/>
      <c r="Q4" s="11"/>
      <c r="R4" s="11"/>
      <c r="S4" s="11"/>
      <c r="T4" s="11"/>
      <c r="U4" s="11"/>
      <c r="V4" s="11"/>
      <c r="W4" s="8"/>
      <c r="X4" s="8"/>
      <c r="Y4" s="8"/>
      <c r="Z4" s="8"/>
      <c r="AA4" s="8"/>
    </row>
    <row r="5" spans="1:2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2.75">
      <c r="A6" s="8"/>
      <c r="B6" s="71" t="s">
        <v>10</v>
      </c>
      <c r="C6" s="48"/>
      <c r="D6" s="48"/>
      <c r="E6" s="49"/>
      <c r="F6" s="63" t="s">
        <v>250</v>
      </c>
      <c r="G6" s="64"/>
      <c r="H6" s="64"/>
      <c r="I6" s="65"/>
      <c r="J6" s="63" t="s">
        <v>251</v>
      </c>
      <c r="K6" s="64"/>
      <c r="L6" s="64"/>
      <c r="M6" s="65"/>
      <c r="N6" s="63" t="s">
        <v>252</v>
      </c>
      <c r="O6" s="64"/>
      <c r="P6" s="64"/>
      <c r="Q6" s="65"/>
      <c r="R6" s="63" t="s">
        <v>253</v>
      </c>
      <c r="S6" s="64"/>
      <c r="T6" s="64"/>
      <c r="U6" s="65"/>
      <c r="V6" s="63" t="s">
        <v>254</v>
      </c>
      <c r="W6" s="64"/>
      <c r="X6" s="64"/>
      <c r="Y6" s="65"/>
      <c r="Z6" s="8"/>
      <c r="AA6" s="8"/>
    </row>
    <row r="7" spans="1:27" ht="12.75">
      <c r="A7" s="8"/>
      <c r="B7" s="50"/>
      <c r="C7" s="51"/>
      <c r="D7" s="51"/>
      <c r="E7" s="52"/>
      <c r="F7" s="66"/>
      <c r="G7" s="67"/>
      <c r="H7" s="67"/>
      <c r="I7" s="68"/>
      <c r="J7" s="66"/>
      <c r="K7" s="67"/>
      <c r="L7" s="67"/>
      <c r="M7" s="68"/>
      <c r="N7" s="66"/>
      <c r="O7" s="67"/>
      <c r="P7" s="67"/>
      <c r="Q7" s="68"/>
      <c r="R7" s="66"/>
      <c r="S7" s="67"/>
      <c r="T7" s="67"/>
      <c r="U7" s="68"/>
      <c r="V7" s="66"/>
      <c r="W7" s="67"/>
      <c r="X7" s="67"/>
      <c r="Y7" s="68"/>
      <c r="Z7" s="8"/>
      <c r="AA7" s="8"/>
    </row>
    <row r="8" spans="1:27" ht="12.75">
      <c r="A8" s="8"/>
      <c r="B8" s="47" t="s">
        <v>200</v>
      </c>
      <c r="C8" s="48"/>
      <c r="D8" s="48"/>
      <c r="E8" s="49"/>
      <c r="F8" s="43"/>
      <c r="G8" s="43"/>
      <c r="H8" s="43"/>
      <c r="I8" s="43"/>
      <c r="J8" s="43"/>
      <c r="K8" s="45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8"/>
      <c r="AA8" s="8"/>
    </row>
    <row r="9" spans="1:27" ht="12.75">
      <c r="A9" s="8"/>
      <c r="B9" s="50"/>
      <c r="C9" s="51"/>
      <c r="D9" s="51"/>
      <c r="E9" s="52"/>
      <c r="F9" s="44"/>
      <c r="G9" s="44"/>
      <c r="H9" s="44"/>
      <c r="I9" s="44"/>
      <c r="J9" s="44"/>
      <c r="K9" s="36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8"/>
      <c r="AA9" s="8"/>
    </row>
    <row r="10" spans="1:27" ht="15">
      <c r="A10" s="8"/>
      <c r="B10" s="40"/>
      <c r="C10" s="41"/>
      <c r="D10" s="41"/>
      <c r="E10" s="42"/>
      <c r="F10" s="17" t="s">
        <v>17</v>
      </c>
      <c r="G10" s="18">
        <f>COUNTIF(F8:G9,"✔")</f>
        <v>0</v>
      </c>
      <c r="H10" s="17" t="s">
        <v>18</v>
      </c>
      <c r="I10" s="18">
        <f>COUNTIF(H8:I9,"a")</f>
        <v>0</v>
      </c>
      <c r="J10" s="17" t="s">
        <v>17</v>
      </c>
      <c r="K10" s="18">
        <f>COUNTIF(J8:K9,"✔")</f>
        <v>0</v>
      </c>
      <c r="L10" s="17" t="s">
        <v>18</v>
      </c>
      <c r="M10" s="18">
        <f>COUNTIF(L8:M9,"a")</f>
        <v>0</v>
      </c>
      <c r="N10" s="17" t="s">
        <v>17</v>
      </c>
      <c r="O10" s="18">
        <f>COUNTIF(N8:O9,"✔")</f>
        <v>0</v>
      </c>
      <c r="P10" s="17" t="s">
        <v>18</v>
      </c>
      <c r="Q10" s="18">
        <f>COUNTIF(P8:Q9,"a")</f>
        <v>0</v>
      </c>
      <c r="R10" s="17" t="s">
        <v>17</v>
      </c>
      <c r="S10" s="18">
        <f>COUNTIF(R8:S9,"✔")</f>
        <v>0</v>
      </c>
      <c r="T10" s="17" t="s">
        <v>18</v>
      </c>
      <c r="U10" s="18">
        <f>COUNTIF(T8:U9,"a")</f>
        <v>0</v>
      </c>
      <c r="V10" s="17" t="s">
        <v>17</v>
      </c>
      <c r="W10" s="18">
        <f>COUNTIF(V8:W9,"✔")</f>
        <v>0</v>
      </c>
      <c r="X10" s="17" t="s">
        <v>18</v>
      </c>
      <c r="Y10" s="18">
        <f>COUNTIF(X8:Y9,"a")</f>
        <v>0</v>
      </c>
      <c r="Z10" s="8"/>
      <c r="AA10" s="8"/>
    </row>
    <row r="11" spans="1:27" ht="12.75">
      <c r="A11" s="8"/>
      <c r="B11" s="47" t="s">
        <v>201</v>
      </c>
      <c r="C11" s="48"/>
      <c r="D11" s="48"/>
      <c r="E11" s="49"/>
      <c r="F11" s="43"/>
      <c r="G11" s="43"/>
      <c r="H11" s="43"/>
      <c r="I11" s="43"/>
      <c r="J11" s="43"/>
      <c r="K11" s="45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8"/>
      <c r="AA11" s="8"/>
    </row>
    <row r="12" spans="1:27" ht="12.75">
      <c r="A12" s="8"/>
      <c r="B12" s="50"/>
      <c r="C12" s="51"/>
      <c r="D12" s="51"/>
      <c r="E12" s="52"/>
      <c r="F12" s="44"/>
      <c r="G12" s="44"/>
      <c r="H12" s="44"/>
      <c r="I12" s="44"/>
      <c r="J12" s="44"/>
      <c r="K12" s="36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8"/>
      <c r="AA12" s="8"/>
    </row>
    <row r="13" spans="1:27" ht="15">
      <c r="A13" s="8"/>
      <c r="B13" s="40"/>
      <c r="C13" s="41"/>
      <c r="D13" s="41"/>
      <c r="E13" s="42"/>
      <c r="F13" s="17" t="s">
        <v>17</v>
      </c>
      <c r="G13" s="18">
        <f>COUNTIF(F11:G12,"✔")</f>
        <v>0</v>
      </c>
      <c r="H13" s="17" t="s">
        <v>18</v>
      </c>
      <c r="I13" s="18">
        <f>COUNTIF(H11:I12,"a")</f>
        <v>0</v>
      </c>
      <c r="J13" s="17" t="s">
        <v>17</v>
      </c>
      <c r="K13" s="18">
        <f>COUNTIF(J11:K12,"✔")</f>
        <v>0</v>
      </c>
      <c r="L13" s="17" t="s">
        <v>18</v>
      </c>
      <c r="M13" s="18">
        <f>COUNTIF(L11:M12,"a")</f>
        <v>0</v>
      </c>
      <c r="N13" s="17" t="s">
        <v>17</v>
      </c>
      <c r="O13" s="18">
        <f>COUNTIF(N11:O12,"✔")</f>
        <v>0</v>
      </c>
      <c r="P13" s="17" t="s">
        <v>18</v>
      </c>
      <c r="Q13" s="18">
        <f>COUNTIF(P11:Q12,"a")</f>
        <v>0</v>
      </c>
      <c r="R13" s="17" t="s">
        <v>17</v>
      </c>
      <c r="S13" s="18">
        <f>COUNTIF(R11:S12,"✔")</f>
        <v>0</v>
      </c>
      <c r="T13" s="17" t="s">
        <v>18</v>
      </c>
      <c r="U13" s="18">
        <f>COUNTIF(T11:U12,"a")</f>
        <v>0</v>
      </c>
      <c r="V13" s="17" t="s">
        <v>17</v>
      </c>
      <c r="W13" s="18">
        <f>COUNTIF(V11:W12,"✔")</f>
        <v>0</v>
      </c>
      <c r="X13" s="17" t="s">
        <v>18</v>
      </c>
      <c r="Y13" s="18">
        <f>COUNTIF(X11:Y12,"a")</f>
        <v>0</v>
      </c>
      <c r="Z13" s="8"/>
      <c r="AA13" s="8"/>
    </row>
    <row r="14" spans="1:27" ht="12.75">
      <c r="A14" s="8"/>
      <c r="B14" s="47" t="s">
        <v>202</v>
      </c>
      <c r="C14" s="48"/>
      <c r="D14" s="48"/>
      <c r="E14" s="49"/>
      <c r="F14" s="43"/>
      <c r="G14" s="43"/>
      <c r="H14" s="43"/>
      <c r="I14" s="43"/>
      <c r="J14" s="43"/>
      <c r="K14" s="45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8"/>
      <c r="AA14" s="8"/>
    </row>
    <row r="15" spans="1:27" ht="12.75">
      <c r="A15" s="8"/>
      <c r="B15" s="50"/>
      <c r="C15" s="51"/>
      <c r="D15" s="51"/>
      <c r="E15" s="52"/>
      <c r="F15" s="44"/>
      <c r="G15" s="44"/>
      <c r="H15" s="44"/>
      <c r="I15" s="44"/>
      <c r="J15" s="44"/>
      <c r="K15" s="36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8"/>
      <c r="AA15" s="8"/>
    </row>
    <row r="16" spans="1:27" ht="15">
      <c r="A16" s="8"/>
      <c r="B16" s="40"/>
      <c r="C16" s="41"/>
      <c r="D16" s="41"/>
      <c r="E16" s="42"/>
      <c r="F16" s="17" t="s">
        <v>17</v>
      </c>
      <c r="G16" s="18">
        <f>COUNTIF(F14:G15,"✔")</f>
        <v>0</v>
      </c>
      <c r="H16" s="17" t="s">
        <v>18</v>
      </c>
      <c r="I16" s="18">
        <f>COUNTIF(H14:I15,"a")</f>
        <v>0</v>
      </c>
      <c r="J16" s="17" t="s">
        <v>17</v>
      </c>
      <c r="K16" s="18">
        <f>COUNTIF(J14:K15,"✔")</f>
        <v>0</v>
      </c>
      <c r="L16" s="17" t="s">
        <v>18</v>
      </c>
      <c r="M16" s="18">
        <f>COUNTIF(L14:M15,"a")</f>
        <v>0</v>
      </c>
      <c r="N16" s="17" t="s">
        <v>17</v>
      </c>
      <c r="O16" s="18">
        <f>COUNTIF(N14:O15,"✔")</f>
        <v>0</v>
      </c>
      <c r="P16" s="17" t="s">
        <v>18</v>
      </c>
      <c r="Q16" s="18">
        <f>COUNTIF(P14:Q15,"a")</f>
        <v>0</v>
      </c>
      <c r="R16" s="17" t="s">
        <v>17</v>
      </c>
      <c r="S16" s="18">
        <f>COUNTIF(R14:S15,"✔")</f>
        <v>0</v>
      </c>
      <c r="T16" s="17" t="s">
        <v>18</v>
      </c>
      <c r="U16" s="18">
        <f>COUNTIF(T14:U15,"a")</f>
        <v>0</v>
      </c>
      <c r="V16" s="17" t="s">
        <v>17</v>
      </c>
      <c r="W16" s="18">
        <f>COUNTIF(V14:W15,"✔")</f>
        <v>0</v>
      </c>
      <c r="X16" s="17" t="s">
        <v>18</v>
      </c>
      <c r="Y16" s="18">
        <f>COUNTIF(X14:Y15,"a")</f>
        <v>0</v>
      </c>
      <c r="Z16" s="8"/>
      <c r="AA16" s="8"/>
    </row>
    <row r="17" spans="1:27" ht="12.75">
      <c r="A17" s="8"/>
      <c r="B17" s="47" t="s">
        <v>203</v>
      </c>
      <c r="C17" s="48"/>
      <c r="D17" s="48"/>
      <c r="E17" s="49"/>
      <c r="F17" s="43"/>
      <c r="G17" s="43"/>
      <c r="H17" s="43"/>
      <c r="I17" s="43"/>
      <c r="J17" s="43"/>
      <c r="K17" s="45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8"/>
      <c r="AA17" s="8"/>
    </row>
    <row r="18" spans="1:27" ht="12.75">
      <c r="A18" s="8"/>
      <c r="B18" s="50"/>
      <c r="C18" s="51"/>
      <c r="D18" s="51"/>
      <c r="E18" s="52"/>
      <c r="F18" s="44"/>
      <c r="G18" s="44"/>
      <c r="H18" s="44"/>
      <c r="I18" s="44"/>
      <c r="J18" s="44"/>
      <c r="K18" s="36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8"/>
      <c r="AA18" s="8"/>
    </row>
    <row r="19" spans="1:27" ht="15">
      <c r="A19" s="8"/>
      <c r="B19" s="40"/>
      <c r="C19" s="41"/>
      <c r="D19" s="41"/>
      <c r="E19" s="42"/>
      <c r="F19" s="17" t="s">
        <v>17</v>
      </c>
      <c r="G19" s="18">
        <f>COUNTIF(F17:G18,"✔")</f>
        <v>0</v>
      </c>
      <c r="H19" s="17" t="s">
        <v>18</v>
      </c>
      <c r="I19" s="18">
        <f>COUNTIF(H17:I18,"a")</f>
        <v>0</v>
      </c>
      <c r="J19" s="17" t="s">
        <v>17</v>
      </c>
      <c r="K19" s="18">
        <f>COUNTIF(J17:K18,"✔")</f>
        <v>0</v>
      </c>
      <c r="L19" s="17" t="s">
        <v>18</v>
      </c>
      <c r="M19" s="18">
        <f>COUNTIF(L17:M18,"a")</f>
        <v>0</v>
      </c>
      <c r="N19" s="17" t="s">
        <v>17</v>
      </c>
      <c r="O19" s="18">
        <f>COUNTIF(N17:O18,"✔")</f>
        <v>0</v>
      </c>
      <c r="P19" s="17" t="s">
        <v>18</v>
      </c>
      <c r="Q19" s="18">
        <f>COUNTIF(P17:Q18,"a")</f>
        <v>0</v>
      </c>
      <c r="R19" s="17" t="s">
        <v>17</v>
      </c>
      <c r="S19" s="18">
        <f>COUNTIF(R17:S18,"✔")</f>
        <v>0</v>
      </c>
      <c r="T19" s="17" t="s">
        <v>18</v>
      </c>
      <c r="U19" s="18">
        <f>COUNTIF(T17:U18,"a")</f>
        <v>0</v>
      </c>
      <c r="V19" s="17" t="s">
        <v>17</v>
      </c>
      <c r="W19" s="18">
        <f>COUNTIF(V17:W18,"✔")</f>
        <v>0</v>
      </c>
      <c r="X19" s="17" t="s">
        <v>18</v>
      </c>
      <c r="Y19" s="18">
        <f>COUNTIF(X17:Y18,"a")</f>
        <v>0</v>
      </c>
      <c r="Z19" s="8"/>
      <c r="AA19" s="8"/>
    </row>
    <row r="20" spans="1:27" ht="12.75">
      <c r="A20" s="8"/>
      <c r="B20" s="47" t="s">
        <v>268</v>
      </c>
      <c r="C20" s="48"/>
      <c r="D20" s="48"/>
      <c r="E20" s="49"/>
      <c r="F20" s="43"/>
      <c r="G20" s="43"/>
      <c r="H20" s="43"/>
      <c r="I20" s="43"/>
      <c r="J20" s="43"/>
      <c r="K20" s="45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8"/>
      <c r="AA20" s="8"/>
    </row>
    <row r="21" spans="1:27" ht="12.75">
      <c r="A21" s="8"/>
      <c r="B21" s="50"/>
      <c r="C21" s="51"/>
      <c r="D21" s="51"/>
      <c r="E21" s="52"/>
      <c r="F21" s="44"/>
      <c r="G21" s="44"/>
      <c r="H21" s="44"/>
      <c r="I21" s="44"/>
      <c r="J21" s="44"/>
      <c r="K21" s="36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8"/>
      <c r="AA21" s="8"/>
    </row>
    <row r="22" spans="1:27" ht="15">
      <c r="A22" s="8"/>
      <c r="B22" s="40"/>
      <c r="C22" s="41"/>
      <c r="D22" s="41"/>
      <c r="E22" s="42"/>
      <c r="F22" s="17" t="s">
        <v>17</v>
      </c>
      <c r="G22" s="18">
        <f>COUNTIF(F20:G21,"✔")</f>
        <v>0</v>
      </c>
      <c r="H22" s="17" t="s">
        <v>18</v>
      </c>
      <c r="I22" s="18">
        <f>COUNTIF(H20:I21,"a")</f>
        <v>0</v>
      </c>
      <c r="J22" s="17" t="s">
        <v>17</v>
      </c>
      <c r="K22" s="18">
        <f>COUNTIF(J20:K21,"✔")</f>
        <v>0</v>
      </c>
      <c r="L22" s="17" t="s">
        <v>18</v>
      </c>
      <c r="M22" s="18">
        <f>COUNTIF(L20:M21,"a")</f>
        <v>0</v>
      </c>
      <c r="N22" s="17" t="s">
        <v>17</v>
      </c>
      <c r="O22" s="18">
        <f>COUNTIF(N20:O21,"✔")</f>
        <v>0</v>
      </c>
      <c r="P22" s="17" t="s">
        <v>18</v>
      </c>
      <c r="Q22" s="18">
        <f>COUNTIF(P20:Q21,"a")</f>
        <v>0</v>
      </c>
      <c r="R22" s="17" t="s">
        <v>17</v>
      </c>
      <c r="S22" s="18">
        <f>COUNTIF(R20:S21,"✔")</f>
        <v>0</v>
      </c>
      <c r="T22" s="17" t="s">
        <v>18</v>
      </c>
      <c r="U22" s="18">
        <f>COUNTIF(T20:U21,"a")</f>
        <v>0</v>
      </c>
      <c r="V22" s="17" t="s">
        <v>17</v>
      </c>
      <c r="W22" s="18">
        <f>COUNTIF(V20:W21,"✔")</f>
        <v>0</v>
      </c>
      <c r="X22" s="17" t="s">
        <v>18</v>
      </c>
      <c r="Y22" s="18">
        <f>COUNTIF(X20:Y21,"a")</f>
        <v>0</v>
      </c>
      <c r="Z22" s="8"/>
      <c r="AA22" s="8"/>
    </row>
    <row r="23" spans="1:27" ht="12.75">
      <c r="A23" s="8"/>
      <c r="B23" s="47" t="s">
        <v>204</v>
      </c>
      <c r="C23" s="48"/>
      <c r="D23" s="48"/>
      <c r="E23" s="49"/>
      <c r="F23" s="43"/>
      <c r="G23" s="43"/>
      <c r="H23" s="43"/>
      <c r="I23" s="43"/>
      <c r="J23" s="43"/>
      <c r="K23" s="45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8"/>
      <c r="AA23" s="8"/>
    </row>
    <row r="24" spans="1:27" ht="12.75">
      <c r="A24" s="8"/>
      <c r="B24" s="50"/>
      <c r="C24" s="51"/>
      <c r="D24" s="51"/>
      <c r="E24" s="52"/>
      <c r="F24" s="44"/>
      <c r="G24" s="44"/>
      <c r="H24" s="44"/>
      <c r="I24" s="44"/>
      <c r="J24" s="44"/>
      <c r="K24" s="36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8"/>
      <c r="AA24" s="8"/>
    </row>
    <row r="25" spans="1:27" ht="15">
      <c r="A25" s="8"/>
      <c r="B25" s="40"/>
      <c r="C25" s="41"/>
      <c r="D25" s="41"/>
      <c r="E25" s="42"/>
      <c r="F25" s="17" t="s">
        <v>17</v>
      </c>
      <c r="G25" s="18">
        <f>COUNTIF(F23:G24,"✔")</f>
        <v>0</v>
      </c>
      <c r="H25" s="17" t="s">
        <v>18</v>
      </c>
      <c r="I25" s="18">
        <f>COUNTIF(H23:I24,"a")</f>
        <v>0</v>
      </c>
      <c r="J25" s="17" t="s">
        <v>17</v>
      </c>
      <c r="K25" s="18">
        <f>COUNTIF(J23:K24,"✔")</f>
        <v>0</v>
      </c>
      <c r="L25" s="17" t="s">
        <v>18</v>
      </c>
      <c r="M25" s="18">
        <f>COUNTIF(L23:M24,"a")</f>
        <v>0</v>
      </c>
      <c r="N25" s="17" t="s">
        <v>17</v>
      </c>
      <c r="O25" s="18">
        <f>COUNTIF(N23:O24,"✔")</f>
        <v>0</v>
      </c>
      <c r="P25" s="17" t="s">
        <v>18</v>
      </c>
      <c r="Q25" s="18">
        <f>COUNTIF(P23:Q24,"a")</f>
        <v>0</v>
      </c>
      <c r="R25" s="17" t="s">
        <v>17</v>
      </c>
      <c r="S25" s="18">
        <f>COUNTIF(R23:S24,"✔")</f>
        <v>0</v>
      </c>
      <c r="T25" s="17" t="s">
        <v>18</v>
      </c>
      <c r="U25" s="18">
        <f>COUNTIF(T23:U24,"a")</f>
        <v>0</v>
      </c>
      <c r="V25" s="17" t="s">
        <v>17</v>
      </c>
      <c r="W25" s="18">
        <f>COUNTIF(V23:W24,"✔")</f>
        <v>0</v>
      </c>
      <c r="X25" s="17" t="s">
        <v>18</v>
      </c>
      <c r="Y25" s="18">
        <f>COUNTIF(X23:Y24,"a")</f>
        <v>0</v>
      </c>
      <c r="Z25" s="8"/>
      <c r="AA25" s="8"/>
    </row>
    <row r="26" spans="1:27" ht="12.75">
      <c r="A26" s="8"/>
      <c r="B26" s="47" t="s">
        <v>205</v>
      </c>
      <c r="C26" s="48"/>
      <c r="D26" s="48"/>
      <c r="E26" s="49"/>
      <c r="F26" s="43"/>
      <c r="G26" s="43"/>
      <c r="H26" s="43"/>
      <c r="I26" s="43"/>
      <c r="J26" s="43"/>
      <c r="K26" s="45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8"/>
      <c r="AA26" s="8"/>
    </row>
    <row r="27" spans="1:27" ht="12.75">
      <c r="A27" s="8"/>
      <c r="B27" s="50"/>
      <c r="C27" s="51"/>
      <c r="D27" s="51"/>
      <c r="E27" s="52"/>
      <c r="F27" s="44"/>
      <c r="G27" s="44"/>
      <c r="H27" s="44"/>
      <c r="I27" s="44"/>
      <c r="J27" s="44"/>
      <c r="K27" s="36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8"/>
      <c r="AA27" s="8"/>
    </row>
    <row r="28" spans="1:27" ht="15">
      <c r="A28" s="8"/>
      <c r="B28" s="40"/>
      <c r="C28" s="41"/>
      <c r="D28" s="41"/>
      <c r="E28" s="42"/>
      <c r="F28" s="17" t="s">
        <v>17</v>
      </c>
      <c r="G28" s="18">
        <f>COUNTIF(F26:G27,"✔")</f>
        <v>0</v>
      </c>
      <c r="H28" s="17" t="s">
        <v>18</v>
      </c>
      <c r="I28" s="18">
        <f>COUNTIF(H26:I27,"a")</f>
        <v>0</v>
      </c>
      <c r="J28" s="17" t="s">
        <v>17</v>
      </c>
      <c r="K28" s="18">
        <f>COUNTIF(J26:K27,"✔")</f>
        <v>0</v>
      </c>
      <c r="L28" s="17" t="s">
        <v>18</v>
      </c>
      <c r="M28" s="18">
        <f>COUNTIF(L26:M27,"a")</f>
        <v>0</v>
      </c>
      <c r="N28" s="17" t="s">
        <v>17</v>
      </c>
      <c r="O28" s="18">
        <f>COUNTIF(N26:O27,"✔")</f>
        <v>0</v>
      </c>
      <c r="P28" s="17" t="s">
        <v>18</v>
      </c>
      <c r="Q28" s="18">
        <f>COUNTIF(P26:Q27,"a")</f>
        <v>0</v>
      </c>
      <c r="R28" s="17" t="s">
        <v>17</v>
      </c>
      <c r="S28" s="18">
        <f>COUNTIF(R26:S27,"✔")</f>
        <v>0</v>
      </c>
      <c r="T28" s="17" t="s">
        <v>18</v>
      </c>
      <c r="U28" s="18">
        <f>COUNTIF(T26:U27,"a")</f>
        <v>0</v>
      </c>
      <c r="V28" s="17" t="s">
        <v>17</v>
      </c>
      <c r="W28" s="18">
        <f>COUNTIF(V26:W27,"✔")</f>
        <v>0</v>
      </c>
      <c r="X28" s="17" t="s">
        <v>18</v>
      </c>
      <c r="Y28" s="18">
        <f>COUNTIF(X26:Y27,"a")</f>
        <v>0</v>
      </c>
      <c r="Z28" s="8"/>
      <c r="AA28" s="8"/>
    </row>
    <row r="29" spans="1:27" ht="12.75">
      <c r="A29" s="8"/>
      <c r="B29" s="47" t="s">
        <v>206</v>
      </c>
      <c r="C29" s="48"/>
      <c r="D29" s="48"/>
      <c r="E29" s="49"/>
      <c r="F29" s="43"/>
      <c r="G29" s="43"/>
      <c r="H29" s="43"/>
      <c r="I29" s="43"/>
      <c r="J29" s="43"/>
      <c r="K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8"/>
      <c r="AA29" s="8"/>
    </row>
    <row r="30" spans="1:27" ht="12.75">
      <c r="A30" s="8"/>
      <c r="B30" s="50"/>
      <c r="C30" s="51"/>
      <c r="D30" s="51"/>
      <c r="E30" s="52"/>
      <c r="F30" s="44"/>
      <c r="G30" s="44"/>
      <c r="H30" s="44"/>
      <c r="I30" s="44"/>
      <c r="J30" s="44"/>
      <c r="K30" s="36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8"/>
      <c r="AA30" s="8"/>
    </row>
    <row r="31" spans="1:27" ht="15">
      <c r="A31" s="8"/>
      <c r="B31" s="40"/>
      <c r="C31" s="41"/>
      <c r="D31" s="41"/>
      <c r="E31" s="42"/>
      <c r="F31" s="17" t="s">
        <v>17</v>
      </c>
      <c r="G31" s="18">
        <f>COUNTIF(F29:G30,"✔")</f>
        <v>0</v>
      </c>
      <c r="H31" s="17" t="s">
        <v>18</v>
      </c>
      <c r="I31" s="18">
        <f>COUNTIF(H29:I30,"a")</f>
        <v>0</v>
      </c>
      <c r="J31" s="17" t="s">
        <v>17</v>
      </c>
      <c r="K31" s="18">
        <f>COUNTIF(J29:K30,"✔")</f>
        <v>0</v>
      </c>
      <c r="L31" s="17" t="s">
        <v>18</v>
      </c>
      <c r="M31" s="18">
        <f>COUNTIF(L29:M30,"a")</f>
        <v>0</v>
      </c>
      <c r="N31" s="17" t="s">
        <v>17</v>
      </c>
      <c r="O31" s="18">
        <f>COUNTIF(N29:O30,"✔")</f>
        <v>0</v>
      </c>
      <c r="P31" s="17" t="s">
        <v>18</v>
      </c>
      <c r="Q31" s="18">
        <f>COUNTIF(P29:Q30,"a")</f>
        <v>0</v>
      </c>
      <c r="R31" s="17" t="s">
        <v>17</v>
      </c>
      <c r="S31" s="18">
        <f>COUNTIF(R29:S30,"✔")</f>
        <v>0</v>
      </c>
      <c r="T31" s="17" t="s">
        <v>18</v>
      </c>
      <c r="U31" s="18">
        <f>COUNTIF(T29:U30,"a")</f>
        <v>0</v>
      </c>
      <c r="V31" s="17" t="s">
        <v>17</v>
      </c>
      <c r="W31" s="18">
        <f>COUNTIF(V29:W30,"✔")</f>
        <v>0</v>
      </c>
      <c r="X31" s="17" t="s">
        <v>18</v>
      </c>
      <c r="Y31" s="18">
        <f>COUNTIF(X29:Y30,"a")</f>
        <v>0</v>
      </c>
      <c r="Z31" s="8"/>
      <c r="AA31" s="8"/>
    </row>
    <row r="32" spans="1:27" ht="12.75">
      <c r="A32" s="8"/>
      <c r="B32" s="47" t="s">
        <v>207</v>
      </c>
      <c r="C32" s="48"/>
      <c r="D32" s="48"/>
      <c r="E32" s="49"/>
      <c r="F32" s="43"/>
      <c r="G32" s="43"/>
      <c r="H32" s="43"/>
      <c r="I32" s="43"/>
      <c r="J32" s="43"/>
      <c r="K32" s="45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8"/>
      <c r="AA32" s="8"/>
    </row>
    <row r="33" spans="1:27" ht="12.75">
      <c r="A33" s="8"/>
      <c r="B33" s="50"/>
      <c r="C33" s="51"/>
      <c r="D33" s="51"/>
      <c r="E33" s="52"/>
      <c r="F33" s="44"/>
      <c r="G33" s="44"/>
      <c r="H33" s="44"/>
      <c r="I33" s="44"/>
      <c r="J33" s="44"/>
      <c r="K33" s="36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8"/>
      <c r="AA33" s="8"/>
    </row>
    <row r="34" spans="1:27" ht="15">
      <c r="A34" s="8"/>
      <c r="B34" s="40"/>
      <c r="C34" s="41"/>
      <c r="D34" s="41"/>
      <c r="E34" s="42"/>
      <c r="F34" s="17" t="s">
        <v>17</v>
      </c>
      <c r="G34" s="18">
        <f>COUNTIF(F32:G33,"✔")</f>
        <v>0</v>
      </c>
      <c r="H34" s="17" t="s">
        <v>18</v>
      </c>
      <c r="I34" s="18">
        <f>COUNTIF(H32:I33,"a")</f>
        <v>0</v>
      </c>
      <c r="J34" s="17" t="s">
        <v>17</v>
      </c>
      <c r="K34" s="18">
        <f>COUNTIF(J32:K33,"✔")</f>
        <v>0</v>
      </c>
      <c r="L34" s="17" t="s">
        <v>18</v>
      </c>
      <c r="M34" s="18">
        <f>COUNTIF(L32:M33,"a")</f>
        <v>0</v>
      </c>
      <c r="N34" s="17" t="s">
        <v>17</v>
      </c>
      <c r="O34" s="18">
        <f>COUNTIF(N32:O33,"✔")</f>
        <v>0</v>
      </c>
      <c r="P34" s="17" t="s">
        <v>18</v>
      </c>
      <c r="Q34" s="18">
        <f>COUNTIF(P32:Q33,"a")</f>
        <v>0</v>
      </c>
      <c r="R34" s="17" t="s">
        <v>17</v>
      </c>
      <c r="S34" s="18">
        <f>COUNTIF(R32:S33,"✔")</f>
        <v>0</v>
      </c>
      <c r="T34" s="17" t="s">
        <v>18</v>
      </c>
      <c r="U34" s="18">
        <f>COUNTIF(T32:U33,"a")</f>
        <v>0</v>
      </c>
      <c r="V34" s="17" t="s">
        <v>17</v>
      </c>
      <c r="W34" s="18">
        <f>COUNTIF(V32:W33,"✔")</f>
        <v>0</v>
      </c>
      <c r="X34" s="17" t="s">
        <v>18</v>
      </c>
      <c r="Y34" s="18">
        <f>COUNTIF(X32:Y33,"a")</f>
        <v>0</v>
      </c>
      <c r="Z34" s="8"/>
      <c r="AA34" s="8"/>
    </row>
    <row r="35" spans="1:27" ht="12.75">
      <c r="A35" s="8"/>
      <c r="B35" s="47" t="s">
        <v>208</v>
      </c>
      <c r="C35" s="48"/>
      <c r="D35" s="48"/>
      <c r="E35" s="49"/>
      <c r="F35" s="43"/>
      <c r="G35" s="43"/>
      <c r="H35" s="43"/>
      <c r="I35" s="43"/>
      <c r="J35" s="43"/>
      <c r="K35" s="45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8"/>
      <c r="AA35" s="8"/>
    </row>
    <row r="36" spans="1:27" ht="12.75">
      <c r="A36" s="8"/>
      <c r="B36" s="50"/>
      <c r="C36" s="51"/>
      <c r="D36" s="51"/>
      <c r="E36" s="52"/>
      <c r="F36" s="44"/>
      <c r="G36" s="44"/>
      <c r="H36" s="44"/>
      <c r="I36" s="44"/>
      <c r="J36" s="44"/>
      <c r="K36" s="36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8"/>
      <c r="AA36" s="8"/>
    </row>
    <row r="37" spans="1:27" ht="15">
      <c r="A37" s="8"/>
      <c r="B37" s="40"/>
      <c r="C37" s="41"/>
      <c r="D37" s="41"/>
      <c r="E37" s="42"/>
      <c r="F37" s="17" t="s">
        <v>17</v>
      </c>
      <c r="G37" s="18">
        <f>COUNTIF(F35:G36,"✔")</f>
        <v>0</v>
      </c>
      <c r="H37" s="17" t="s">
        <v>18</v>
      </c>
      <c r="I37" s="18">
        <f>COUNTIF(H35:I36,"a")</f>
        <v>0</v>
      </c>
      <c r="J37" s="17" t="s">
        <v>17</v>
      </c>
      <c r="K37" s="18">
        <f>COUNTIF(J35:K36,"✔")</f>
        <v>0</v>
      </c>
      <c r="L37" s="17" t="s">
        <v>18</v>
      </c>
      <c r="M37" s="18">
        <f>COUNTIF(L35:M36,"a")</f>
        <v>0</v>
      </c>
      <c r="N37" s="17" t="s">
        <v>17</v>
      </c>
      <c r="O37" s="18">
        <f>COUNTIF(N35:O36,"✔")</f>
        <v>0</v>
      </c>
      <c r="P37" s="17" t="s">
        <v>18</v>
      </c>
      <c r="Q37" s="18">
        <f>COUNTIF(P35:Q36,"a")</f>
        <v>0</v>
      </c>
      <c r="R37" s="17" t="s">
        <v>17</v>
      </c>
      <c r="S37" s="18">
        <f>COUNTIF(R35:S36,"✔")</f>
        <v>0</v>
      </c>
      <c r="T37" s="17" t="s">
        <v>18</v>
      </c>
      <c r="U37" s="18">
        <f>COUNTIF(T35:U36,"a")</f>
        <v>0</v>
      </c>
      <c r="V37" s="17" t="s">
        <v>17</v>
      </c>
      <c r="W37" s="18">
        <f>COUNTIF(V35:W36,"✔")</f>
        <v>0</v>
      </c>
      <c r="X37" s="17" t="s">
        <v>18</v>
      </c>
      <c r="Y37" s="18">
        <f>COUNTIF(X35:Y36,"a")</f>
        <v>0</v>
      </c>
      <c r="Z37" s="8"/>
      <c r="AA37" s="8"/>
    </row>
    <row r="38" spans="1:27" ht="12.75">
      <c r="A38" s="8"/>
      <c r="B38" s="47" t="s">
        <v>209</v>
      </c>
      <c r="C38" s="48"/>
      <c r="D38" s="48"/>
      <c r="E38" s="49"/>
      <c r="F38" s="43"/>
      <c r="G38" s="43"/>
      <c r="H38" s="43"/>
      <c r="I38" s="43"/>
      <c r="J38" s="43"/>
      <c r="K38" s="45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8"/>
      <c r="AA38" s="8"/>
    </row>
    <row r="39" spans="1:27" ht="12.75">
      <c r="A39" s="8"/>
      <c r="B39" s="50"/>
      <c r="C39" s="51"/>
      <c r="D39" s="51"/>
      <c r="E39" s="52"/>
      <c r="F39" s="44"/>
      <c r="G39" s="44"/>
      <c r="H39" s="44"/>
      <c r="I39" s="44"/>
      <c r="J39" s="44"/>
      <c r="K39" s="36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8"/>
      <c r="AA39" s="8"/>
    </row>
    <row r="40" spans="1:27" ht="15">
      <c r="A40" s="8"/>
      <c r="B40" s="40"/>
      <c r="C40" s="41"/>
      <c r="D40" s="41"/>
      <c r="E40" s="42"/>
      <c r="F40" s="17" t="s">
        <v>17</v>
      </c>
      <c r="G40" s="18">
        <f>COUNTIF(F38:G39,"✔")</f>
        <v>0</v>
      </c>
      <c r="H40" s="17" t="s">
        <v>18</v>
      </c>
      <c r="I40" s="18">
        <f>COUNTIF(H38:I39,"a")</f>
        <v>0</v>
      </c>
      <c r="J40" s="17" t="s">
        <v>17</v>
      </c>
      <c r="K40" s="18">
        <f>COUNTIF(J38:K39,"✔")</f>
        <v>0</v>
      </c>
      <c r="L40" s="17" t="s">
        <v>18</v>
      </c>
      <c r="M40" s="18">
        <f>COUNTIF(L38:M39,"a")</f>
        <v>0</v>
      </c>
      <c r="N40" s="17" t="s">
        <v>17</v>
      </c>
      <c r="O40" s="18">
        <f>COUNTIF(N38:O39,"✔")</f>
        <v>0</v>
      </c>
      <c r="P40" s="17" t="s">
        <v>18</v>
      </c>
      <c r="Q40" s="18">
        <f>COUNTIF(P38:Q39,"a")</f>
        <v>0</v>
      </c>
      <c r="R40" s="17" t="s">
        <v>17</v>
      </c>
      <c r="S40" s="18">
        <f>COUNTIF(R38:S39,"✔")</f>
        <v>0</v>
      </c>
      <c r="T40" s="17" t="s">
        <v>18</v>
      </c>
      <c r="U40" s="18">
        <f>COUNTIF(T38:U39,"a")</f>
        <v>0</v>
      </c>
      <c r="V40" s="17" t="s">
        <v>17</v>
      </c>
      <c r="W40" s="18">
        <f>COUNTIF(V38:W39,"✔")</f>
        <v>0</v>
      </c>
      <c r="X40" s="17" t="s">
        <v>18</v>
      </c>
      <c r="Y40" s="18">
        <f>COUNTIF(X38:Y39,"a")</f>
        <v>0</v>
      </c>
      <c r="Z40" s="8"/>
      <c r="AA40" s="8"/>
    </row>
    <row r="41" spans="1:27" ht="12.75">
      <c r="A41" s="8"/>
      <c r="B41" s="47" t="s">
        <v>210</v>
      </c>
      <c r="C41" s="48"/>
      <c r="D41" s="48"/>
      <c r="E41" s="49"/>
      <c r="F41" s="43"/>
      <c r="G41" s="43"/>
      <c r="H41" s="43"/>
      <c r="I41" s="43"/>
      <c r="J41" s="43"/>
      <c r="K41" s="45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8"/>
      <c r="AA41" s="8"/>
    </row>
    <row r="42" spans="1:27" ht="12.75">
      <c r="A42" s="8"/>
      <c r="B42" s="50"/>
      <c r="C42" s="51"/>
      <c r="D42" s="51"/>
      <c r="E42" s="52"/>
      <c r="F42" s="44"/>
      <c r="G42" s="44"/>
      <c r="H42" s="44"/>
      <c r="I42" s="44"/>
      <c r="J42" s="44"/>
      <c r="K42" s="36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8"/>
      <c r="AA42" s="8"/>
    </row>
    <row r="43" spans="1:27" ht="15">
      <c r="A43" s="8"/>
      <c r="B43" s="40"/>
      <c r="C43" s="41"/>
      <c r="D43" s="41"/>
      <c r="E43" s="42"/>
      <c r="F43" s="17" t="s">
        <v>17</v>
      </c>
      <c r="G43" s="18">
        <f>COUNTIF(F41:G42,"✔")</f>
        <v>0</v>
      </c>
      <c r="H43" s="17" t="s">
        <v>18</v>
      </c>
      <c r="I43" s="18">
        <f>COUNTIF(H41:I42,"a")</f>
        <v>0</v>
      </c>
      <c r="J43" s="17" t="s">
        <v>17</v>
      </c>
      <c r="K43" s="18">
        <f>COUNTIF(J41:K42,"✔")</f>
        <v>0</v>
      </c>
      <c r="L43" s="17" t="s">
        <v>18</v>
      </c>
      <c r="M43" s="18">
        <f>COUNTIF(L41:M42,"a")</f>
        <v>0</v>
      </c>
      <c r="N43" s="17" t="s">
        <v>17</v>
      </c>
      <c r="O43" s="18">
        <f>COUNTIF(N41:O42,"✔")</f>
        <v>0</v>
      </c>
      <c r="P43" s="17" t="s">
        <v>18</v>
      </c>
      <c r="Q43" s="18">
        <f>COUNTIF(P41:Q42,"a")</f>
        <v>0</v>
      </c>
      <c r="R43" s="17" t="s">
        <v>17</v>
      </c>
      <c r="S43" s="18">
        <f>COUNTIF(R41:S42,"✔")</f>
        <v>0</v>
      </c>
      <c r="T43" s="17" t="s">
        <v>18</v>
      </c>
      <c r="U43" s="18">
        <f>COUNTIF(T41:U42,"a")</f>
        <v>0</v>
      </c>
      <c r="V43" s="17" t="s">
        <v>17</v>
      </c>
      <c r="W43" s="18">
        <f>COUNTIF(V41:W42,"✔")</f>
        <v>0</v>
      </c>
      <c r="X43" s="17" t="s">
        <v>18</v>
      </c>
      <c r="Y43" s="18">
        <f>COUNTIF(X41:Y42,"a")</f>
        <v>0</v>
      </c>
      <c r="Z43" s="8"/>
      <c r="AA43" s="8"/>
    </row>
    <row r="44" spans="1:27" ht="12.75">
      <c r="A44" s="8"/>
      <c r="B44" s="47" t="s">
        <v>211</v>
      </c>
      <c r="C44" s="48"/>
      <c r="D44" s="48"/>
      <c r="E44" s="49"/>
      <c r="F44" s="43"/>
      <c r="G44" s="43"/>
      <c r="H44" s="43"/>
      <c r="I44" s="43"/>
      <c r="J44" s="43"/>
      <c r="K44" s="45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8"/>
      <c r="AA44" s="8"/>
    </row>
    <row r="45" spans="1:27" ht="12.75">
      <c r="A45" s="8"/>
      <c r="B45" s="50"/>
      <c r="C45" s="51"/>
      <c r="D45" s="51"/>
      <c r="E45" s="52"/>
      <c r="F45" s="44"/>
      <c r="G45" s="44"/>
      <c r="H45" s="44"/>
      <c r="I45" s="44"/>
      <c r="J45" s="44"/>
      <c r="K45" s="36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8"/>
      <c r="AA45" s="8"/>
    </row>
    <row r="46" spans="1:27" ht="15">
      <c r="A46" s="8"/>
      <c r="B46" s="40"/>
      <c r="C46" s="41"/>
      <c r="D46" s="41"/>
      <c r="E46" s="42"/>
      <c r="F46" s="17" t="s">
        <v>17</v>
      </c>
      <c r="G46" s="18">
        <f>COUNTIF(F44:G45,"✔")</f>
        <v>0</v>
      </c>
      <c r="H46" s="17" t="s">
        <v>18</v>
      </c>
      <c r="I46" s="18">
        <f>COUNTIF(H44:I45,"a")</f>
        <v>0</v>
      </c>
      <c r="J46" s="17" t="s">
        <v>17</v>
      </c>
      <c r="K46" s="18">
        <f>COUNTIF(J44:K45,"✔")</f>
        <v>0</v>
      </c>
      <c r="L46" s="17" t="s">
        <v>18</v>
      </c>
      <c r="M46" s="18">
        <f>COUNTIF(L44:M45,"a")</f>
        <v>0</v>
      </c>
      <c r="N46" s="17" t="s">
        <v>17</v>
      </c>
      <c r="O46" s="18">
        <f>COUNTIF(N44:O45,"✔")</f>
        <v>0</v>
      </c>
      <c r="P46" s="17" t="s">
        <v>18</v>
      </c>
      <c r="Q46" s="18">
        <f>COUNTIF(P44:Q45,"a")</f>
        <v>0</v>
      </c>
      <c r="R46" s="17" t="s">
        <v>17</v>
      </c>
      <c r="S46" s="18">
        <f>COUNTIF(R44:S45,"✔")</f>
        <v>0</v>
      </c>
      <c r="T46" s="17" t="s">
        <v>18</v>
      </c>
      <c r="U46" s="18">
        <f>COUNTIF(T44:U45,"a")</f>
        <v>0</v>
      </c>
      <c r="V46" s="17" t="s">
        <v>17</v>
      </c>
      <c r="W46" s="18">
        <f>COUNTIF(V44:W45,"✔")</f>
        <v>0</v>
      </c>
      <c r="X46" s="17" t="s">
        <v>18</v>
      </c>
      <c r="Y46" s="18">
        <f>COUNTIF(X44:Y45,"a")</f>
        <v>0</v>
      </c>
      <c r="Z46" s="8"/>
      <c r="AA46" s="8"/>
    </row>
    <row r="47" spans="1:27" ht="12.75">
      <c r="A47" s="8"/>
      <c r="B47" s="47" t="s">
        <v>212</v>
      </c>
      <c r="C47" s="48"/>
      <c r="D47" s="48"/>
      <c r="E47" s="49"/>
      <c r="F47" s="43"/>
      <c r="G47" s="43"/>
      <c r="H47" s="43"/>
      <c r="I47" s="43"/>
      <c r="J47" s="43"/>
      <c r="K47" s="45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8"/>
      <c r="AA47" s="8"/>
    </row>
    <row r="48" spans="1:27" ht="12.75">
      <c r="A48" s="8"/>
      <c r="B48" s="50"/>
      <c r="C48" s="51"/>
      <c r="D48" s="51"/>
      <c r="E48" s="52"/>
      <c r="F48" s="44"/>
      <c r="G48" s="44"/>
      <c r="H48" s="44"/>
      <c r="I48" s="44"/>
      <c r="J48" s="44"/>
      <c r="K48" s="36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8"/>
      <c r="AA48" s="8"/>
    </row>
    <row r="49" spans="1:27" ht="15">
      <c r="A49" s="8"/>
      <c r="B49" s="40"/>
      <c r="C49" s="41"/>
      <c r="D49" s="41"/>
      <c r="E49" s="42"/>
      <c r="F49" s="17" t="s">
        <v>17</v>
      </c>
      <c r="G49" s="18">
        <f>COUNTIF(F47:G48,"✔")</f>
        <v>0</v>
      </c>
      <c r="H49" s="17" t="s">
        <v>18</v>
      </c>
      <c r="I49" s="18">
        <f>COUNTIF(H47:I48,"a")</f>
        <v>0</v>
      </c>
      <c r="J49" s="17" t="s">
        <v>17</v>
      </c>
      <c r="K49" s="18">
        <f>COUNTIF(J47:K48,"✔")</f>
        <v>0</v>
      </c>
      <c r="L49" s="17" t="s">
        <v>18</v>
      </c>
      <c r="M49" s="18">
        <f>COUNTIF(L47:M48,"a")</f>
        <v>0</v>
      </c>
      <c r="N49" s="17" t="s">
        <v>17</v>
      </c>
      <c r="O49" s="18">
        <f>COUNTIF(N47:O48,"✔")</f>
        <v>0</v>
      </c>
      <c r="P49" s="17" t="s">
        <v>18</v>
      </c>
      <c r="Q49" s="18">
        <f>COUNTIF(P47:Q48,"a")</f>
        <v>0</v>
      </c>
      <c r="R49" s="17" t="s">
        <v>17</v>
      </c>
      <c r="S49" s="18">
        <f>COUNTIF(R47:S48,"✔")</f>
        <v>0</v>
      </c>
      <c r="T49" s="17" t="s">
        <v>18</v>
      </c>
      <c r="U49" s="18">
        <f>COUNTIF(T47:U48,"a")</f>
        <v>0</v>
      </c>
      <c r="V49" s="17" t="s">
        <v>17</v>
      </c>
      <c r="W49" s="18">
        <f>COUNTIF(V47:W48,"✔")</f>
        <v>0</v>
      </c>
      <c r="X49" s="17" t="s">
        <v>18</v>
      </c>
      <c r="Y49" s="18">
        <f>COUNTIF(X47:Y48,"a")</f>
        <v>0</v>
      </c>
      <c r="Z49" s="8"/>
      <c r="AA49" s="8"/>
    </row>
    <row r="50" spans="1:27" ht="12.75">
      <c r="A50" s="8"/>
      <c r="B50" s="47" t="s">
        <v>213</v>
      </c>
      <c r="C50" s="48"/>
      <c r="D50" s="48"/>
      <c r="E50" s="49"/>
      <c r="F50" s="43"/>
      <c r="G50" s="43"/>
      <c r="H50" s="43"/>
      <c r="I50" s="43"/>
      <c r="J50" s="43"/>
      <c r="K50" s="45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8"/>
      <c r="AA50" s="8"/>
    </row>
    <row r="51" spans="1:27" ht="12.75">
      <c r="A51" s="8"/>
      <c r="B51" s="50"/>
      <c r="C51" s="51"/>
      <c r="D51" s="51"/>
      <c r="E51" s="52"/>
      <c r="F51" s="44"/>
      <c r="G51" s="44"/>
      <c r="H51" s="44"/>
      <c r="I51" s="44"/>
      <c r="J51" s="44"/>
      <c r="K51" s="36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8"/>
      <c r="AA51" s="8"/>
    </row>
    <row r="52" spans="1:27" ht="15">
      <c r="A52" s="8"/>
      <c r="B52" s="40"/>
      <c r="C52" s="41"/>
      <c r="D52" s="41"/>
      <c r="E52" s="42"/>
      <c r="F52" s="17" t="s">
        <v>17</v>
      </c>
      <c r="G52" s="18">
        <f>COUNTIF(F50:G51,"✔")</f>
        <v>0</v>
      </c>
      <c r="H52" s="17" t="s">
        <v>18</v>
      </c>
      <c r="I52" s="18">
        <f>COUNTIF(H50:I51,"a")</f>
        <v>0</v>
      </c>
      <c r="J52" s="17" t="s">
        <v>17</v>
      </c>
      <c r="K52" s="18">
        <f>COUNTIF(J50:K51,"✔")</f>
        <v>0</v>
      </c>
      <c r="L52" s="17" t="s">
        <v>18</v>
      </c>
      <c r="M52" s="18">
        <f>COUNTIF(L50:M51,"a")</f>
        <v>0</v>
      </c>
      <c r="N52" s="17" t="s">
        <v>17</v>
      </c>
      <c r="O52" s="18">
        <f>COUNTIF(N50:O51,"✔")</f>
        <v>0</v>
      </c>
      <c r="P52" s="17" t="s">
        <v>18</v>
      </c>
      <c r="Q52" s="18">
        <f>COUNTIF(P50:Q51,"a")</f>
        <v>0</v>
      </c>
      <c r="R52" s="17" t="s">
        <v>17</v>
      </c>
      <c r="S52" s="18">
        <f>COUNTIF(R50:S51,"✔")</f>
        <v>0</v>
      </c>
      <c r="T52" s="17" t="s">
        <v>18</v>
      </c>
      <c r="U52" s="18">
        <f>COUNTIF(T50:U51,"a")</f>
        <v>0</v>
      </c>
      <c r="V52" s="17" t="s">
        <v>17</v>
      </c>
      <c r="W52" s="18">
        <f>COUNTIF(V50:W51,"✔")</f>
        <v>0</v>
      </c>
      <c r="X52" s="17" t="s">
        <v>18</v>
      </c>
      <c r="Y52" s="18">
        <f>COUNTIF(X50:Y51,"a")</f>
        <v>0</v>
      </c>
      <c r="Z52" s="8"/>
      <c r="AA52" s="8"/>
    </row>
    <row r="53" spans="1:27" ht="12.75">
      <c r="A53" s="8"/>
      <c r="B53" s="47" t="s">
        <v>214</v>
      </c>
      <c r="C53" s="48"/>
      <c r="D53" s="48"/>
      <c r="E53" s="49"/>
      <c r="F53" s="43"/>
      <c r="G53" s="43"/>
      <c r="H53" s="43"/>
      <c r="I53" s="43"/>
      <c r="J53" s="43"/>
      <c r="K53" s="45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8"/>
      <c r="AA53" s="8"/>
    </row>
    <row r="54" spans="1:27" ht="12.75">
      <c r="A54" s="8"/>
      <c r="B54" s="50"/>
      <c r="C54" s="51"/>
      <c r="D54" s="51"/>
      <c r="E54" s="52"/>
      <c r="F54" s="44"/>
      <c r="G54" s="44"/>
      <c r="H54" s="44"/>
      <c r="I54" s="44"/>
      <c r="J54" s="44"/>
      <c r="K54" s="36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8"/>
      <c r="AA54" s="8"/>
    </row>
    <row r="55" spans="1:27" ht="15">
      <c r="A55" s="8"/>
      <c r="B55" s="40"/>
      <c r="C55" s="41"/>
      <c r="D55" s="41"/>
      <c r="E55" s="42"/>
      <c r="F55" s="17" t="s">
        <v>17</v>
      </c>
      <c r="G55" s="18">
        <f>COUNTIF(F53:G54,"✔")</f>
        <v>0</v>
      </c>
      <c r="H55" s="17" t="s">
        <v>18</v>
      </c>
      <c r="I55" s="18">
        <f>COUNTIF(H53:I54,"a")</f>
        <v>0</v>
      </c>
      <c r="J55" s="17" t="s">
        <v>17</v>
      </c>
      <c r="K55" s="18">
        <f>COUNTIF(J53:K54,"✔")</f>
        <v>0</v>
      </c>
      <c r="L55" s="17" t="s">
        <v>18</v>
      </c>
      <c r="M55" s="18">
        <f>COUNTIF(L53:M54,"a")</f>
        <v>0</v>
      </c>
      <c r="N55" s="17" t="s">
        <v>17</v>
      </c>
      <c r="O55" s="18">
        <f>COUNTIF(N53:O54,"✔")</f>
        <v>0</v>
      </c>
      <c r="P55" s="17" t="s">
        <v>18</v>
      </c>
      <c r="Q55" s="18">
        <f>COUNTIF(P53:Q54,"a")</f>
        <v>0</v>
      </c>
      <c r="R55" s="17" t="s">
        <v>17</v>
      </c>
      <c r="S55" s="18">
        <f>COUNTIF(R53:S54,"✔")</f>
        <v>0</v>
      </c>
      <c r="T55" s="17" t="s">
        <v>18</v>
      </c>
      <c r="U55" s="18">
        <f>COUNTIF(T53:U54,"a")</f>
        <v>0</v>
      </c>
      <c r="V55" s="17" t="s">
        <v>17</v>
      </c>
      <c r="W55" s="18">
        <f>COUNTIF(V53:W54,"✔")</f>
        <v>0</v>
      </c>
      <c r="X55" s="17" t="s">
        <v>18</v>
      </c>
      <c r="Y55" s="18">
        <f>COUNTIF(X53:Y54,"a")</f>
        <v>0</v>
      </c>
      <c r="Z55" s="8"/>
      <c r="AA55" s="8"/>
    </row>
    <row r="56" spans="1:27" ht="12.75">
      <c r="A56" s="8"/>
      <c r="B56" s="47" t="s">
        <v>269</v>
      </c>
      <c r="C56" s="48"/>
      <c r="D56" s="48"/>
      <c r="E56" s="49"/>
      <c r="F56" s="43"/>
      <c r="G56" s="43"/>
      <c r="H56" s="43"/>
      <c r="I56" s="43"/>
      <c r="J56" s="43"/>
      <c r="K56" s="45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8"/>
      <c r="AA56" s="8"/>
    </row>
    <row r="57" spans="1:27" ht="12.75">
      <c r="A57" s="8"/>
      <c r="B57" s="50"/>
      <c r="C57" s="51"/>
      <c r="D57" s="51"/>
      <c r="E57" s="52"/>
      <c r="F57" s="44"/>
      <c r="G57" s="44"/>
      <c r="H57" s="44"/>
      <c r="I57" s="44"/>
      <c r="J57" s="44"/>
      <c r="K57" s="36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8"/>
      <c r="AA57" s="8"/>
    </row>
    <row r="58" spans="1:27" ht="15">
      <c r="A58" s="8"/>
      <c r="B58" s="40"/>
      <c r="C58" s="41"/>
      <c r="D58" s="41"/>
      <c r="E58" s="42"/>
      <c r="F58" s="17" t="s">
        <v>17</v>
      </c>
      <c r="G58" s="18">
        <f>COUNTIF(F56:G57,"✔")</f>
        <v>0</v>
      </c>
      <c r="H58" s="17" t="s">
        <v>18</v>
      </c>
      <c r="I58" s="18">
        <f>COUNTIF(H56:I57,"a")</f>
        <v>0</v>
      </c>
      <c r="J58" s="17" t="s">
        <v>17</v>
      </c>
      <c r="K58" s="18">
        <f>COUNTIF(J56:K57,"✔")</f>
        <v>0</v>
      </c>
      <c r="L58" s="17" t="s">
        <v>18</v>
      </c>
      <c r="M58" s="18">
        <f>COUNTIF(L56:M57,"a")</f>
        <v>0</v>
      </c>
      <c r="N58" s="17" t="s">
        <v>17</v>
      </c>
      <c r="O58" s="18">
        <f>COUNTIF(N56:O57,"✔")</f>
        <v>0</v>
      </c>
      <c r="P58" s="17" t="s">
        <v>18</v>
      </c>
      <c r="Q58" s="18">
        <f>COUNTIF(P56:Q57,"a")</f>
        <v>0</v>
      </c>
      <c r="R58" s="17" t="s">
        <v>17</v>
      </c>
      <c r="S58" s="18">
        <f>COUNTIF(R56:S57,"✔")</f>
        <v>0</v>
      </c>
      <c r="T58" s="17" t="s">
        <v>18</v>
      </c>
      <c r="U58" s="18">
        <f>COUNTIF(T56:U57,"a")</f>
        <v>0</v>
      </c>
      <c r="V58" s="17" t="s">
        <v>17</v>
      </c>
      <c r="W58" s="18">
        <f>COUNTIF(V56:W57,"✔")</f>
        <v>0</v>
      </c>
      <c r="X58" s="17" t="s">
        <v>18</v>
      </c>
      <c r="Y58" s="18">
        <f>COUNTIF(X56:Y57,"a")</f>
        <v>0</v>
      </c>
      <c r="Z58" s="8"/>
      <c r="AA58" s="8"/>
    </row>
    <row r="59" spans="1:27" ht="12.75">
      <c r="A59" s="8"/>
      <c r="B59" s="47" t="s">
        <v>213</v>
      </c>
      <c r="C59" s="48"/>
      <c r="D59" s="48"/>
      <c r="E59" s="49"/>
      <c r="F59" s="43"/>
      <c r="G59" s="43"/>
      <c r="H59" s="43"/>
      <c r="I59" s="43"/>
      <c r="J59" s="43"/>
      <c r="K59" s="45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8"/>
      <c r="AA59" s="8"/>
    </row>
    <row r="60" spans="1:27" ht="12.75">
      <c r="A60" s="8"/>
      <c r="B60" s="50"/>
      <c r="C60" s="51"/>
      <c r="D60" s="51"/>
      <c r="E60" s="52"/>
      <c r="F60" s="44"/>
      <c r="G60" s="44"/>
      <c r="H60" s="44"/>
      <c r="I60" s="44"/>
      <c r="J60" s="44"/>
      <c r="K60" s="36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8"/>
      <c r="AA60" s="8"/>
    </row>
    <row r="61" spans="1:27" ht="15">
      <c r="A61" s="8"/>
      <c r="B61" s="40"/>
      <c r="C61" s="41"/>
      <c r="D61" s="41"/>
      <c r="E61" s="42"/>
      <c r="F61" s="17" t="s">
        <v>17</v>
      </c>
      <c r="G61" s="18">
        <f>COUNTIF(F59:G60,"✔")</f>
        <v>0</v>
      </c>
      <c r="H61" s="17" t="s">
        <v>18</v>
      </c>
      <c r="I61" s="18">
        <f>COUNTIF(H59:I60,"a")</f>
        <v>0</v>
      </c>
      <c r="J61" s="17" t="s">
        <v>17</v>
      </c>
      <c r="K61" s="18">
        <f>COUNTIF(J59:K60,"✔")</f>
        <v>0</v>
      </c>
      <c r="L61" s="17" t="s">
        <v>18</v>
      </c>
      <c r="M61" s="18">
        <f>COUNTIF(L59:M60,"a")</f>
        <v>0</v>
      </c>
      <c r="N61" s="17" t="s">
        <v>17</v>
      </c>
      <c r="O61" s="18">
        <f>COUNTIF(N59:O60,"✔")</f>
        <v>0</v>
      </c>
      <c r="P61" s="17" t="s">
        <v>18</v>
      </c>
      <c r="Q61" s="18">
        <f>COUNTIF(P59:Q60,"a")</f>
        <v>0</v>
      </c>
      <c r="R61" s="17" t="s">
        <v>17</v>
      </c>
      <c r="S61" s="18">
        <f>COUNTIF(R59:S60,"✔")</f>
        <v>0</v>
      </c>
      <c r="T61" s="17" t="s">
        <v>18</v>
      </c>
      <c r="U61" s="18">
        <f>COUNTIF(T59:U60,"a")</f>
        <v>0</v>
      </c>
      <c r="V61" s="17" t="s">
        <v>17</v>
      </c>
      <c r="W61" s="18">
        <f>COUNTIF(V59:W60,"✔")</f>
        <v>0</v>
      </c>
      <c r="X61" s="17" t="s">
        <v>18</v>
      </c>
      <c r="Y61" s="18">
        <f>COUNTIF(X59:Y60,"a")</f>
        <v>0</v>
      </c>
      <c r="Z61" s="8"/>
      <c r="AA61" s="8"/>
    </row>
    <row r="62" spans="1:27" ht="12.75">
      <c r="A62" s="8"/>
      <c r="B62" s="47" t="s">
        <v>213</v>
      </c>
      <c r="C62" s="48"/>
      <c r="D62" s="48"/>
      <c r="E62" s="49"/>
      <c r="F62" s="43"/>
      <c r="G62" s="43"/>
      <c r="H62" s="43"/>
      <c r="I62" s="43"/>
      <c r="J62" s="43"/>
      <c r="K62" s="45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8"/>
      <c r="AA62" s="8"/>
    </row>
    <row r="63" spans="1:27" ht="12.75">
      <c r="A63" s="8"/>
      <c r="B63" s="50"/>
      <c r="C63" s="51"/>
      <c r="D63" s="51"/>
      <c r="E63" s="52"/>
      <c r="F63" s="44"/>
      <c r="G63" s="44"/>
      <c r="H63" s="44"/>
      <c r="I63" s="44"/>
      <c r="J63" s="44"/>
      <c r="K63" s="36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8"/>
      <c r="AA63" s="8"/>
    </row>
    <row r="64" spans="1:27" ht="15">
      <c r="A64" s="8"/>
      <c r="B64" s="40"/>
      <c r="C64" s="41"/>
      <c r="D64" s="41"/>
      <c r="E64" s="42"/>
      <c r="F64" s="17" t="s">
        <v>17</v>
      </c>
      <c r="G64" s="18">
        <f>COUNTIF(F62:G63,"✔")</f>
        <v>0</v>
      </c>
      <c r="H64" s="17" t="s">
        <v>18</v>
      </c>
      <c r="I64" s="18">
        <f>COUNTIF(H62:I63,"a")</f>
        <v>0</v>
      </c>
      <c r="J64" s="17" t="s">
        <v>17</v>
      </c>
      <c r="K64" s="18">
        <f>COUNTIF(J62:K63,"✔")</f>
        <v>0</v>
      </c>
      <c r="L64" s="17" t="s">
        <v>18</v>
      </c>
      <c r="M64" s="18">
        <f>COUNTIF(L62:M63,"a")</f>
        <v>0</v>
      </c>
      <c r="N64" s="17" t="s">
        <v>17</v>
      </c>
      <c r="O64" s="18">
        <f>COUNTIF(N62:O63,"✔")</f>
        <v>0</v>
      </c>
      <c r="P64" s="17" t="s">
        <v>18</v>
      </c>
      <c r="Q64" s="18">
        <f>COUNTIF(P62:Q63,"a")</f>
        <v>0</v>
      </c>
      <c r="R64" s="17" t="s">
        <v>17</v>
      </c>
      <c r="S64" s="18">
        <f>COUNTIF(R62:S63,"✔")</f>
        <v>0</v>
      </c>
      <c r="T64" s="17" t="s">
        <v>18</v>
      </c>
      <c r="U64" s="18">
        <f>COUNTIF(T62:U63,"a")</f>
        <v>0</v>
      </c>
      <c r="V64" s="17" t="s">
        <v>17</v>
      </c>
      <c r="W64" s="18">
        <f>COUNTIF(V62:W63,"✔")</f>
        <v>0</v>
      </c>
      <c r="X64" s="17" t="s">
        <v>18</v>
      </c>
      <c r="Y64" s="18">
        <f>COUNTIF(X62:Y63,"a")</f>
        <v>0</v>
      </c>
      <c r="Z64" s="8"/>
      <c r="AA64" s="8"/>
    </row>
    <row r="65" spans="1:27" ht="12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2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2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2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2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2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2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2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2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2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2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2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2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2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2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2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2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2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2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2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2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2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2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2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2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2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2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2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2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2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2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2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2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2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2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2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2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2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2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2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2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2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2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2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2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2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2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2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2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2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2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2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2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2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2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2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2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2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2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2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2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2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2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2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2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2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2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2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2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2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2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2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2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2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2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2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2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2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2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2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2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2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2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2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2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2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2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2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2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2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2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2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2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2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2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2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2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2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2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2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2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2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2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2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2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2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2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2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2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2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2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2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2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2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2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2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2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2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2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2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2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2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2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2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2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2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2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2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2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2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2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2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2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2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2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2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2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2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2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2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2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2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2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2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2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2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2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2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2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2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2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2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2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2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2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2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2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2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2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2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2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2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2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2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2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2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2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2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2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2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2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2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2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2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2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2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2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2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2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2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2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2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2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2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2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2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2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2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2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2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2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2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2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2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2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2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2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2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2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2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2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2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2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2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2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2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2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2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2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2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2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2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2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2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2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2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2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2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2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2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2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2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2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2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2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2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2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2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2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2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2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2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2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2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2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2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2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2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2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2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2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2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2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2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2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2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2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2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2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2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2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2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2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2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2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2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2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2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2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2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2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2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2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2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2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2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2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2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2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2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2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2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2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2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2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2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2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2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2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2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2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2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2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2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2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2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2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2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2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2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2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2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2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2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2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2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2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2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2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2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2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2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2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2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2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2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2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2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2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2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2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2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2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2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2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2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2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2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2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2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2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2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2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2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2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2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2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2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2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2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2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2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2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2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2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2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2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2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2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2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2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2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2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2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2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2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2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2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2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2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2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2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2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2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2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2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2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2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2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2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2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2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2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2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2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2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2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2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2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2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2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2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2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2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2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2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2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2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2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2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2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2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2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2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2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2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2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2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2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2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2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2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2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2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2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2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2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2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2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2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2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2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2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2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2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2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2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2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2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2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2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2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2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2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2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2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2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2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2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2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2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2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2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2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2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2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2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2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2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2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2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2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2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2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2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2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2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2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2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2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2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2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2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2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2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2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2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2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2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2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2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2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2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2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2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2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2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2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2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2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2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2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2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2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2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2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2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2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2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2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2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2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2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2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2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2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2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2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2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2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2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2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2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2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2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2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2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2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2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2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2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2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2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2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2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2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2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2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2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2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2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2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2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2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2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2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2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2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2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2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2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2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2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2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2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2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2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2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2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</sheetData>
  <mergeCells count="428">
    <mergeCell ref="S62:S63"/>
    <mergeCell ref="T62:T63"/>
    <mergeCell ref="U62:U63"/>
    <mergeCell ref="V62:V63"/>
    <mergeCell ref="W62:W63"/>
    <mergeCell ref="X62:X63"/>
    <mergeCell ref="Y62:Y63"/>
    <mergeCell ref="K62:K63"/>
    <mergeCell ref="L62:L63"/>
    <mergeCell ref="M62:M63"/>
    <mergeCell ref="N62:N63"/>
    <mergeCell ref="O62:O63"/>
    <mergeCell ref="P62:P63"/>
    <mergeCell ref="Q62:Q63"/>
    <mergeCell ref="B61:E61"/>
    <mergeCell ref="B62:E63"/>
    <mergeCell ref="F62:F63"/>
    <mergeCell ref="G62:G63"/>
    <mergeCell ref="H62:H63"/>
    <mergeCell ref="I62:I63"/>
    <mergeCell ref="J62:J63"/>
    <mergeCell ref="B64:E64"/>
    <mergeCell ref="R62:R63"/>
    <mergeCell ref="B25:E25"/>
    <mergeCell ref="B26:E27"/>
    <mergeCell ref="F26:F27"/>
    <mergeCell ref="G26:G27"/>
    <mergeCell ref="H26:H27"/>
    <mergeCell ref="I26:I27"/>
    <mergeCell ref="J26:J27"/>
    <mergeCell ref="B28:E28"/>
    <mergeCell ref="B29:E30"/>
    <mergeCell ref="F29:F30"/>
    <mergeCell ref="G29:G30"/>
    <mergeCell ref="H29:H30"/>
    <mergeCell ref="I29:I30"/>
    <mergeCell ref="J29:J30"/>
    <mergeCell ref="R23:R24"/>
    <mergeCell ref="S23:S24"/>
    <mergeCell ref="T23:T24"/>
    <mergeCell ref="U23:U24"/>
    <mergeCell ref="V23:V24"/>
    <mergeCell ref="W23:W24"/>
    <mergeCell ref="X23:X24"/>
    <mergeCell ref="Y23:Y24"/>
    <mergeCell ref="K23:K24"/>
    <mergeCell ref="L23:L24"/>
    <mergeCell ref="M23:M24"/>
    <mergeCell ref="N23:N24"/>
    <mergeCell ref="O23:O24"/>
    <mergeCell ref="P23:P24"/>
    <mergeCell ref="Q23:Q24"/>
    <mergeCell ref="R20:R21"/>
    <mergeCell ref="S20:S21"/>
    <mergeCell ref="T20:T21"/>
    <mergeCell ref="U20:U21"/>
    <mergeCell ref="V20:V21"/>
    <mergeCell ref="W20:W21"/>
    <mergeCell ref="X20:X21"/>
    <mergeCell ref="Y20:Y21"/>
    <mergeCell ref="K20:K21"/>
    <mergeCell ref="L20:L21"/>
    <mergeCell ref="M20:M21"/>
    <mergeCell ref="N20:N21"/>
    <mergeCell ref="O20:O21"/>
    <mergeCell ref="P20:P21"/>
    <mergeCell ref="Q20:Q21"/>
    <mergeCell ref="T17:T18"/>
    <mergeCell ref="U17:U18"/>
    <mergeCell ref="V17:V18"/>
    <mergeCell ref="W17:W18"/>
    <mergeCell ref="X17:X18"/>
    <mergeCell ref="Y17:Y18"/>
    <mergeCell ref="K17:K18"/>
    <mergeCell ref="L17:L18"/>
    <mergeCell ref="M17:M18"/>
    <mergeCell ref="N17:N18"/>
    <mergeCell ref="O17:O18"/>
    <mergeCell ref="P17:P18"/>
    <mergeCell ref="Q17:Q18"/>
    <mergeCell ref="B13:E13"/>
    <mergeCell ref="B14:E15"/>
    <mergeCell ref="F14:F15"/>
    <mergeCell ref="G14:G15"/>
    <mergeCell ref="H14:H15"/>
    <mergeCell ref="I14:I15"/>
    <mergeCell ref="J14:J15"/>
    <mergeCell ref="R17:R18"/>
    <mergeCell ref="S17:S18"/>
    <mergeCell ref="B16:E16"/>
    <mergeCell ref="B17:E18"/>
    <mergeCell ref="F17:F18"/>
    <mergeCell ref="G17:G18"/>
    <mergeCell ref="H17:H18"/>
    <mergeCell ref="I17:I18"/>
    <mergeCell ref="J17:J18"/>
    <mergeCell ref="V14:V15"/>
    <mergeCell ref="W14:W15"/>
    <mergeCell ref="X14:X15"/>
    <mergeCell ref="Y14:Y15"/>
    <mergeCell ref="R11:R12"/>
    <mergeCell ref="S11:S12"/>
    <mergeCell ref="U11:U12"/>
    <mergeCell ref="V11:V12"/>
    <mergeCell ref="W11:W12"/>
    <mergeCell ref="X11:X12"/>
    <mergeCell ref="Y11:Y12"/>
    <mergeCell ref="L11:L12"/>
    <mergeCell ref="M11:M12"/>
    <mergeCell ref="N11:N12"/>
    <mergeCell ref="O11:O12"/>
    <mergeCell ref="P11:P12"/>
    <mergeCell ref="Q11:Q12"/>
    <mergeCell ref="T11:T12"/>
    <mergeCell ref="T14:T15"/>
    <mergeCell ref="U14:U15"/>
    <mergeCell ref="S8:S9"/>
    <mergeCell ref="T8:T9"/>
    <mergeCell ref="U8:U9"/>
    <mergeCell ref="V8:V9"/>
    <mergeCell ref="W8:W9"/>
    <mergeCell ref="X8:X9"/>
    <mergeCell ref="Y8:Y9"/>
    <mergeCell ref="L8:L9"/>
    <mergeCell ref="M8:M9"/>
    <mergeCell ref="N8:N9"/>
    <mergeCell ref="O8:O9"/>
    <mergeCell ref="P8:P9"/>
    <mergeCell ref="Q8:Q9"/>
    <mergeCell ref="R8:R9"/>
    <mergeCell ref="N6:Q7"/>
    <mergeCell ref="R6:U7"/>
    <mergeCell ref="V6:Y7"/>
    <mergeCell ref="B1:O1"/>
    <mergeCell ref="D3:D4"/>
    <mergeCell ref="J3:J4"/>
    <mergeCell ref="L3:L4"/>
    <mergeCell ref="B6:E7"/>
    <mergeCell ref="F6:I7"/>
    <mergeCell ref="J6:M7"/>
    <mergeCell ref="R14:R15"/>
    <mergeCell ref="S14:S15"/>
    <mergeCell ref="K14:K15"/>
    <mergeCell ref="L14:L15"/>
    <mergeCell ref="M14:M15"/>
    <mergeCell ref="N14:N15"/>
    <mergeCell ref="O14:O15"/>
    <mergeCell ref="P14:P15"/>
    <mergeCell ref="Q14:Q15"/>
    <mergeCell ref="B8:E9"/>
    <mergeCell ref="F8:F9"/>
    <mergeCell ref="G8:G9"/>
    <mergeCell ref="H8:H9"/>
    <mergeCell ref="I8:I9"/>
    <mergeCell ref="J8:J9"/>
    <mergeCell ref="K8:K9"/>
    <mergeCell ref="B10:E10"/>
    <mergeCell ref="B11:E12"/>
    <mergeCell ref="F11:F12"/>
    <mergeCell ref="G11:G12"/>
    <mergeCell ref="H11:H12"/>
    <mergeCell ref="I11:I12"/>
    <mergeCell ref="J11:J12"/>
    <mergeCell ref="K11:K12"/>
    <mergeCell ref="T56:T57"/>
    <mergeCell ref="T59:T60"/>
    <mergeCell ref="U59:U60"/>
    <mergeCell ref="V59:V60"/>
    <mergeCell ref="W59:W60"/>
    <mergeCell ref="X59:X60"/>
    <mergeCell ref="Y59:Y60"/>
    <mergeCell ref="R56:R57"/>
    <mergeCell ref="S56:S57"/>
    <mergeCell ref="U56:U57"/>
    <mergeCell ref="V56:V57"/>
    <mergeCell ref="W56:W57"/>
    <mergeCell ref="X56:X57"/>
    <mergeCell ref="Y56:Y57"/>
    <mergeCell ref="R59:R60"/>
    <mergeCell ref="S59:S60"/>
    <mergeCell ref="K56:K57"/>
    <mergeCell ref="L56:L57"/>
    <mergeCell ref="M56:M57"/>
    <mergeCell ref="N56:N57"/>
    <mergeCell ref="O56:O57"/>
    <mergeCell ref="P56:P57"/>
    <mergeCell ref="Q56:Q57"/>
    <mergeCell ref="B58:E58"/>
    <mergeCell ref="B59:E60"/>
    <mergeCell ref="F59:F60"/>
    <mergeCell ref="G59:G60"/>
    <mergeCell ref="H59:H60"/>
    <mergeCell ref="I59:I60"/>
    <mergeCell ref="J59:J60"/>
    <mergeCell ref="K59:K60"/>
    <mergeCell ref="L59:L60"/>
    <mergeCell ref="M59:M60"/>
    <mergeCell ref="N59:N60"/>
    <mergeCell ref="O59:O60"/>
    <mergeCell ref="P59:P60"/>
    <mergeCell ref="Q59:Q60"/>
    <mergeCell ref="R53:R54"/>
    <mergeCell ref="S53:S54"/>
    <mergeCell ref="T53:T54"/>
    <mergeCell ref="U53:U54"/>
    <mergeCell ref="V53:V54"/>
    <mergeCell ref="W53:W54"/>
    <mergeCell ref="X53:X54"/>
    <mergeCell ref="Y53:Y54"/>
    <mergeCell ref="K53:K54"/>
    <mergeCell ref="L53:L54"/>
    <mergeCell ref="M53:M54"/>
    <mergeCell ref="N53:N54"/>
    <mergeCell ref="O53:O54"/>
    <mergeCell ref="P53:P54"/>
    <mergeCell ref="Q53:Q54"/>
    <mergeCell ref="B52:E52"/>
    <mergeCell ref="B53:E54"/>
    <mergeCell ref="F53:F54"/>
    <mergeCell ref="G53:G54"/>
    <mergeCell ref="H53:H54"/>
    <mergeCell ref="I53:I54"/>
    <mergeCell ref="J53:J54"/>
    <mergeCell ref="B55:E55"/>
    <mergeCell ref="B56:E57"/>
    <mergeCell ref="F56:F57"/>
    <mergeCell ref="G56:G57"/>
    <mergeCell ref="H56:H57"/>
    <mergeCell ref="I56:I57"/>
    <mergeCell ref="J56:J57"/>
    <mergeCell ref="T47:T48"/>
    <mergeCell ref="T50:T51"/>
    <mergeCell ref="U50:U51"/>
    <mergeCell ref="V50:V51"/>
    <mergeCell ref="W50:W51"/>
    <mergeCell ref="X50:X51"/>
    <mergeCell ref="Y50:Y51"/>
    <mergeCell ref="R47:R48"/>
    <mergeCell ref="S47:S48"/>
    <mergeCell ref="U47:U48"/>
    <mergeCell ref="V47:V48"/>
    <mergeCell ref="W47:W48"/>
    <mergeCell ref="X47:X48"/>
    <mergeCell ref="Y47:Y48"/>
    <mergeCell ref="R50:R51"/>
    <mergeCell ref="S50:S51"/>
    <mergeCell ref="K47:K48"/>
    <mergeCell ref="L47:L48"/>
    <mergeCell ref="M47:M48"/>
    <mergeCell ref="N47:N48"/>
    <mergeCell ref="O47:O48"/>
    <mergeCell ref="P47:P48"/>
    <mergeCell ref="Q47:Q48"/>
    <mergeCell ref="B49:E49"/>
    <mergeCell ref="B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44:R45"/>
    <mergeCell ref="S44:S45"/>
    <mergeCell ref="T44:T45"/>
    <mergeCell ref="U44:U45"/>
    <mergeCell ref="V44:V45"/>
    <mergeCell ref="W44:W45"/>
    <mergeCell ref="X44:X45"/>
    <mergeCell ref="Y44:Y45"/>
    <mergeCell ref="K44:K45"/>
    <mergeCell ref="L44:L45"/>
    <mergeCell ref="M44:M45"/>
    <mergeCell ref="N44:N45"/>
    <mergeCell ref="O44:O45"/>
    <mergeCell ref="P44:P45"/>
    <mergeCell ref="Q44:Q45"/>
    <mergeCell ref="B37:E37"/>
    <mergeCell ref="B38:E39"/>
    <mergeCell ref="F38:F39"/>
    <mergeCell ref="G38:G39"/>
    <mergeCell ref="H38:H39"/>
    <mergeCell ref="I38:I39"/>
    <mergeCell ref="J38:J39"/>
    <mergeCell ref="B40:E40"/>
    <mergeCell ref="B41:E42"/>
    <mergeCell ref="F41:F42"/>
    <mergeCell ref="G41:G42"/>
    <mergeCell ref="H41:H42"/>
    <mergeCell ref="I41:I42"/>
    <mergeCell ref="J41:J42"/>
    <mergeCell ref="B43:E43"/>
    <mergeCell ref="B44:E45"/>
    <mergeCell ref="F44:F45"/>
    <mergeCell ref="G44:G45"/>
    <mergeCell ref="H44:H45"/>
    <mergeCell ref="I44:I45"/>
    <mergeCell ref="J44:J45"/>
    <mergeCell ref="B46:E46"/>
    <mergeCell ref="B47:E48"/>
    <mergeCell ref="F47:F48"/>
    <mergeCell ref="G47:G48"/>
    <mergeCell ref="H47:H48"/>
    <mergeCell ref="I47:I48"/>
    <mergeCell ref="J47:J48"/>
    <mergeCell ref="R41:R42"/>
    <mergeCell ref="S41:S42"/>
    <mergeCell ref="T41:T42"/>
    <mergeCell ref="U41:U42"/>
    <mergeCell ref="V41:V42"/>
    <mergeCell ref="W41:W42"/>
    <mergeCell ref="X41:X42"/>
    <mergeCell ref="Y41:Y42"/>
    <mergeCell ref="K41:K42"/>
    <mergeCell ref="L41:L42"/>
    <mergeCell ref="M41:M42"/>
    <mergeCell ref="N41:N42"/>
    <mergeCell ref="O41:O42"/>
    <mergeCell ref="P41:P42"/>
    <mergeCell ref="Q41:Q42"/>
    <mergeCell ref="R38:R39"/>
    <mergeCell ref="S38:S39"/>
    <mergeCell ref="T38:T39"/>
    <mergeCell ref="U38:U39"/>
    <mergeCell ref="V38:V39"/>
    <mergeCell ref="W38:W39"/>
    <mergeCell ref="X38:X39"/>
    <mergeCell ref="Y38:Y39"/>
    <mergeCell ref="K38:K39"/>
    <mergeCell ref="L38:L39"/>
    <mergeCell ref="M38:M39"/>
    <mergeCell ref="N38:N39"/>
    <mergeCell ref="O38:O39"/>
    <mergeCell ref="P38:P39"/>
    <mergeCell ref="Q38:Q39"/>
    <mergeCell ref="T35:T36"/>
    <mergeCell ref="U35:U36"/>
    <mergeCell ref="V35:V36"/>
    <mergeCell ref="W35:W36"/>
    <mergeCell ref="X35:X36"/>
    <mergeCell ref="Y35:Y36"/>
    <mergeCell ref="K35:K36"/>
    <mergeCell ref="L35:L36"/>
    <mergeCell ref="M35:M36"/>
    <mergeCell ref="N35:N36"/>
    <mergeCell ref="O35:O36"/>
    <mergeCell ref="P35:P36"/>
    <mergeCell ref="Q35:Q36"/>
    <mergeCell ref="B31:E31"/>
    <mergeCell ref="B32:E33"/>
    <mergeCell ref="F32:F33"/>
    <mergeCell ref="G32:G33"/>
    <mergeCell ref="H32:H33"/>
    <mergeCell ref="I32:I33"/>
    <mergeCell ref="J32:J33"/>
    <mergeCell ref="R35:R36"/>
    <mergeCell ref="S35:S36"/>
    <mergeCell ref="B34:E34"/>
    <mergeCell ref="B35:E36"/>
    <mergeCell ref="F35:F36"/>
    <mergeCell ref="G35:G36"/>
    <mergeCell ref="H35:H36"/>
    <mergeCell ref="I35:I36"/>
    <mergeCell ref="J35:J36"/>
    <mergeCell ref="R32:R33"/>
    <mergeCell ref="S32:S33"/>
    <mergeCell ref="K32:K33"/>
    <mergeCell ref="L32:L33"/>
    <mergeCell ref="M32:M33"/>
    <mergeCell ref="N32:N33"/>
    <mergeCell ref="O32:O33"/>
    <mergeCell ref="P32:P33"/>
    <mergeCell ref="U32:U33"/>
    <mergeCell ref="V32:V33"/>
    <mergeCell ref="W32:W33"/>
    <mergeCell ref="X32:X33"/>
    <mergeCell ref="Y32:Y33"/>
    <mergeCell ref="R29:R30"/>
    <mergeCell ref="S29:S30"/>
    <mergeCell ref="U29:U30"/>
    <mergeCell ref="V29:V30"/>
    <mergeCell ref="W29:W30"/>
    <mergeCell ref="X29:X30"/>
    <mergeCell ref="Y29:Y30"/>
    <mergeCell ref="K29:K30"/>
    <mergeCell ref="L29:L30"/>
    <mergeCell ref="M29:M30"/>
    <mergeCell ref="N29:N30"/>
    <mergeCell ref="O29:O30"/>
    <mergeCell ref="P29:P30"/>
    <mergeCell ref="Q29:Q30"/>
    <mergeCell ref="T29:T30"/>
    <mergeCell ref="T32:T33"/>
    <mergeCell ref="Q32:Q33"/>
    <mergeCell ref="R26:R27"/>
    <mergeCell ref="S26:S27"/>
    <mergeCell ref="T26:T27"/>
    <mergeCell ref="U26:U27"/>
    <mergeCell ref="V26:V27"/>
    <mergeCell ref="W26:W27"/>
    <mergeCell ref="X26:X27"/>
    <mergeCell ref="Y26:Y27"/>
    <mergeCell ref="K26:K27"/>
    <mergeCell ref="L26:L27"/>
    <mergeCell ref="M26:M27"/>
    <mergeCell ref="N26:N27"/>
    <mergeCell ref="O26:O27"/>
    <mergeCell ref="P26:P27"/>
    <mergeCell ref="Q26:Q27"/>
    <mergeCell ref="B19:E19"/>
    <mergeCell ref="B20:E21"/>
    <mergeCell ref="F20:F21"/>
    <mergeCell ref="G20:G21"/>
    <mergeCell ref="H20:H21"/>
    <mergeCell ref="I20:I21"/>
    <mergeCell ref="J20:J21"/>
    <mergeCell ref="B22:E22"/>
    <mergeCell ref="B23:E24"/>
    <mergeCell ref="F23:F24"/>
    <mergeCell ref="G23:G24"/>
    <mergeCell ref="H23:H24"/>
    <mergeCell ref="I23:I24"/>
    <mergeCell ref="J23:J24"/>
  </mergeCells>
  <conditionalFormatting sqref="F8:Y9 F11:Y12 F14:Y15 F17:Y18 F20:Y21 F23:Y24 F26:Y27 F29:Y30 F32:Y33 F35:Y36 F38:Y39 F41:Y42 F44:Y45 F47:Y48 F50:U51 V50:Y54 F53:U54 F56:Y57 F59:Y60 F62:Y63">
    <cfRule type="cellIs" dxfId="5" priority="1" operator="equal">
      <formula>"✔"</formula>
    </cfRule>
    <cfRule type="cellIs" dxfId="4" priority="2" operator="equal">
      <formula>"S"</formula>
    </cfRule>
    <cfRule type="cellIs" dxfId="3" priority="3" operator="equal">
      <formula>"P"</formula>
    </cfRule>
    <cfRule type="cellIs" dxfId="2" priority="4" operator="equal">
      <formula>"V"</formula>
    </cfRule>
    <cfRule type="cellIs" dxfId="1" priority="5" operator="equal">
      <formula>"X"</formula>
    </cfRule>
    <cfRule type="cellIs" dxfId="0" priority="6" operator="equal">
      <formula>"H"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defaultColWidth="12.59765625" defaultRowHeight="15.75" customHeight="1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"/>
  <sheetViews>
    <sheetView workbookViewId="0"/>
  </sheetViews>
  <sheetFormatPr defaultColWidth="12.59765625" defaultRowHeight="15.75" customHeight="1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1000"/>
  <sheetViews>
    <sheetView workbookViewId="0"/>
  </sheetViews>
  <sheetFormatPr defaultColWidth="12.59765625" defaultRowHeight="15.75" customHeight="1"/>
  <cols>
    <col min="1" max="1" width="32.59765625" customWidth="1"/>
  </cols>
  <sheetData>
    <row r="1" spans="1:1">
      <c r="A1" s="27"/>
    </row>
    <row r="2" spans="1:1" ht="15.75" customHeight="1">
      <c r="A2" s="28" t="s">
        <v>270</v>
      </c>
    </row>
    <row r="3" spans="1:1" ht="15.75" customHeight="1">
      <c r="A3" s="28"/>
    </row>
    <row r="4" spans="1:1" ht="15.75" customHeight="1">
      <c r="A4" s="29" t="s">
        <v>271</v>
      </c>
    </row>
    <row r="5" spans="1:1" ht="15.75" customHeight="1">
      <c r="A5" s="29"/>
    </row>
    <row r="6" spans="1:1" ht="15.75" customHeight="1">
      <c r="A6" s="29">
        <v>9032761666</v>
      </c>
    </row>
    <row r="7" spans="1:1" ht="15.75" customHeight="1">
      <c r="A7" s="29"/>
    </row>
    <row r="8" spans="1:1" ht="15.75" customHeight="1">
      <c r="A8" s="29" t="s">
        <v>272</v>
      </c>
    </row>
    <row r="9" spans="1:1" ht="15.75" customHeight="1">
      <c r="A9" s="29"/>
    </row>
    <row r="10" spans="1:1" ht="15.75" customHeight="1">
      <c r="A10" s="29">
        <v>7041854892</v>
      </c>
    </row>
    <row r="11" spans="1:1" ht="15.75" customHeight="1">
      <c r="A11" s="29"/>
    </row>
    <row r="12" spans="1:1" ht="15.75" customHeight="1">
      <c r="A12" s="29" t="s">
        <v>273</v>
      </c>
    </row>
    <row r="13" spans="1:1" ht="15.75" customHeight="1">
      <c r="A13" s="29"/>
    </row>
    <row r="14" spans="1:1" ht="15.75" customHeight="1">
      <c r="A14" s="29">
        <v>8034747107</v>
      </c>
    </row>
    <row r="15" spans="1:1" ht="15.75" customHeight="1">
      <c r="A15" s="29"/>
    </row>
    <row r="16" spans="1:1" ht="15.75" customHeight="1">
      <c r="A16" s="29" t="s">
        <v>274</v>
      </c>
    </row>
    <row r="17" spans="1:1" ht="15.75" customHeight="1">
      <c r="A17" s="29"/>
    </row>
    <row r="18" spans="1:1" ht="15.75" customHeight="1">
      <c r="A18" s="29">
        <v>7081243374</v>
      </c>
    </row>
    <row r="19" spans="1:1" ht="15.75" customHeight="1">
      <c r="A19" s="29"/>
    </row>
    <row r="20" spans="1:1" ht="15.75" customHeight="1">
      <c r="A20" s="29" t="s">
        <v>275</v>
      </c>
    </row>
    <row r="21" spans="1:1" ht="14.25">
      <c r="A21" s="29"/>
    </row>
    <row r="22" spans="1:1" ht="14.25">
      <c r="A22" s="29">
        <v>7032841227</v>
      </c>
    </row>
    <row r="23" spans="1:1" ht="14.25">
      <c r="A23" s="29"/>
    </row>
    <row r="24" spans="1:1" ht="14.25">
      <c r="A24" s="29" t="s">
        <v>276</v>
      </c>
    </row>
    <row r="25" spans="1:1" ht="14.25">
      <c r="A25" s="29"/>
    </row>
    <row r="26" spans="1:1" ht="14.25">
      <c r="A26" s="29">
        <v>7038376555</v>
      </c>
    </row>
    <row r="27" spans="1:1" ht="14.25">
      <c r="A27" s="29"/>
    </row>
    <row r="28" spans="1:1" ht="14.25">
      <c r="A28" s="29" t="s">
        <v>277</v>
      </c>
    </row>
    <row r="29" spans="1:1" ht="14.25">
      <c r="A29" s="29"/>
    </row>
    <row r="30" spans="1:1" ht="14.25">
      <c r="A30" s="29">
        <v>7057422976</v>
      </c>
    </row>
    <row r="31" spans="1:1" ht="14.25">
      <c r="A31" s="29"/>
    </row>
    <row r="32" spans="1:1" ht="14.25">
      <c r="A32" s="29" t="s">
        <v>278</v>
      </c>
    </row>
    <row r="33" spans="1:1" ht="14.25">
      <c r="A33" s="29"/>
    </row>
    <row r="34" spans="1:1" ht="14.25">
      <c r="A34" s="29">
        <v>9139288465</v>
      </c>
    </row>
    <row r="35" spans="1:1" ht="14.25">
      <c r="A35" s="29"/>
    </row>
    <row r="36" spans="1:1" ht="14.25">
      <c r="A36" s="29" t="s">
        <v>279</v>
      </c>
    </row>
    <row r="37" spans="1:1" ht="14.25">
      <c r="A37" s="29"/>
    </row>
    <row r="38" spans="1:1" ht="14.25">
      <c r="A38" s="29">
        <v>9163234837</v>
      </c>
    </row>
    <row r="39" spans="1:1" ht="14.25">
      <c r="A39" s="29"/>
    </row>
    <row r="40" spans="1:1" ht="14.25">
      <c r="A40" s="29" t="s">
        <v>280</v>
      </c>
    </row>
    <row r="41" spans="1:1" ht="14.25">
      <c r="A41" s="29"/>
    </row>
    <row r="42" spans="1:1" ht="14.25">
      <c r="A42" s="29">
        <v>7045864651</v>
      </c>
    </row>
    <row r="43" spans="1:1" ht="14.25">
      <c r="A43" s="29"/>
    </row>
    <row r="44" spans="1:1" ht="14.25">
      <c r="A44" s="29" t="s">
        <v>281</v>
      </c>
    </row>
    <row r="45" spans="1:1" ht="14.25">
      <c r="A45" s="29"/>
    </row>
    <row r="46" spans="1:1" ht="14.25">
      <c r="A46" s="29" t="s">
        <v>282</v>
      </c>
    </row>
    <row r="47" spans="1:1" ht="14.25">
      <c r="A47" s="29"/>
    </row>
    <row r="48" spans="1:1" ht="14.25">
      <c r="A48" s="29" t="s">
        <v>283</v>
      </c>
    </row>
    <row r="49" spans="1:1" ht="14.25">
      <c r="A49" s="29"/>
    </row>
    <row r="50" spans="1:1" ht="14.25">
      <c r="A50" s="29">
        <v>8105389768</v>
      </c>
    </row>
    <row r="51" spans="1:1" ht="14.25">
      <c r="A51" s="29"/>
    </row>
    <row r="52" spans="1:1" ht="14.25">
      <c r="A52" s="29" t="s">
        <v>284</v>
      </c>
    </row>
    <row r="53" spans="1:1" ht="14.25">
      <c r="A53" s="29"/>
    </row>
    <row r="54" spans="1:1" ht="14.25">
      <c r="A54" s="29">
        <v>8064265810</v>
      </c>
    </row>
    <row r="55" spans="1:1" ht="14.25">
      <c r="A55" s="29"/>
    </row>
    <row r="56" spans="1:1" ht="14.25">
      <c r="A56" s="29" t="s">
        <v>285</v>
      </c>
    </row>
    <row r="57" spans="1:1" ht="14.25">
      <c r="A57" s="29"/>
    </row>
    <row r="58" spans="1:1" ht="14.25">
      <c r="A58" s="29">
        <v>9123167764</v>
      </c>
    </row>
    <row r="59" spans="1:1" ht="14.25">
      <c r="A59" s="29"/>
    </row>
    <row r="60" spans="1:1" ht="14.25">
      <c r="A60" s="29" t="s">
        <v>286</v>
      </c>
    </row>
    <row r="61" spans="1:1" ht="14.25">
      <c r="A61" s="29"/>
    </row>
    <row r="62" spans="1:1" ht="14.25">
      <c r="A62" s="29">
        <v>9063501727</v>
      </c>
    </row>
    <row r="63" spans="1:1" ht="14.25">
      <c r="A63" s="29"/>
    </row>
    <row r="64" spans="1:1" ht="14.25">
      <c r="A64" s="29" t="s">
        <v>287</v>
      </c>
    </row>
    <row r="65" spans="1:1" ht="14.25">
      <c r="A65" s="29"/>
    </row>
    <row r="66" spans="1:1" ht="14.25">
      <c r="A66" s="29">
        <v>8023045591</v>
      </c>
    </row>
    <row r="67" spans="1:1" ht="14.25">
      <c r="A67" s="29"/>
    </row>
    <row r="68" spans="1:1" ht="14.25">
      <c r="A68" s="29" t="s">
        <v>288</v>
      </c>
    </row>
    <row r="69" spans="1:1" ht="14.25">
      <c r="A69" s="29"/>
    </row>
    <row r="70" spans="1:1" ht="14.25">
      <c r="A70" s="29" t="s">
        <v>289</v>
      </c>
    </row>
    <row r="71" spans="1:1" ht="14.25">
      <c r="A71" s="28"/>
    </row>
    <row r="72" spans="1:1" ht="14.25">
      <c r="A72" s="28" t="s">
        <v>290</v>
      </c>
    </row>
    <row r="73" spans="1:1" ht="14.25">
      <c r="A73" s="28"/>
    </row>
    <row r="74" spans="1:1" ht="14.25">
      <c r="A74" s="29" t="s">
        <v>291</v>
      </c>
    </row>
    <row r="75" spans="1:1" ht="14.25">
      <c r="A75" s="29"/>
    </row>
    <row r="76" spans="1:1" ht="14.25">
      <c r="A76" s="29" t="s">
        <v>292</v>
      </c>
    </row>
    <row r="77" spans="1:1" ht="14.25">
      <c r="A77" s="29"/>
    </row>
    <row r="78" spans="1:1" ht="14.25">
      <c r="A78" s="29" t="s">
        <v>293</v>
      </c>
    </row>
    <row r="79" spans="1:1" ht="14.25">
      <c r="A79" s="29"/>
    </row>
    <row r="80" spans="1:1" ht="14.25">
      <c r="A80" s="29" t="s">
        <v>294</v>
      </c>
    </row>
    <row r="81" spans="1:1" ht="14.25">
      <c r="A81" s="29"/>
    </row>
    <row r="82" spans="1:1" ht="14.25">
      <c r="A82" s="29" t="s">
        <v>295</v>
      </c>
    </row>
    <row r="83" spans="1:1" ht="14.25">
      <c r="A83" s="29"/>
    </row>
    <row r="84" spans="1:1" ht="14.25">
      <c r="A84" s="29" t="s">
        <v>296</v>
      </c>
    </row>
    <row r="85" spans="1:1" ht="14.25">
      <c r="A85" s="29"/>
    </row>
    <row r="86" spans="1:1" ht="14.25">
      <c r="A86" s="29" t="s">
        <v>297</v>
      </c>
    </row>
    <row r="87" spans="1:1" ht="12.75">
      <c r="A87" s="27"/>
    </row>
    <row r="88" spans="1:1" ht="12.75">
      <c r="A88" s="27"/>
    </row>
    <row r="89" spans="1:1" ht="12.75">
      <c r="A89" s="27"/>
    </row>
    <row r="90" spans="1:1" ht="12.75">
      <c r="A90" s="27"/>
    </row>
    <row r="91" spans="1:1" ht="12.75">
      <c r="A91" s="27"/>
    </row>
    <row r="92" spans="1:1" ht="12.75">
      <c r="A92" s="27"/>
    </row>
    <row r="93" spans="1:1" ht="12.75">
      <c r="A93" s="27"/>
    </row>
    <row r="94" spans="1:1" ht="12.75">
      <c r="A94" s="27"/>
    </row>
    <row r="95" spans="1:1" ht="12.75">
      <c r="A95" s="27"/>
    </row>
    <row r="96" spans="1:1" ht="12.75">
      <c r="A96" s="27"/>
    </row>
    <row r="97" spans="1:1" ht="12.75">
      <c r="A97" s="27"/>
    </row>
    <row r="98" spans="1:1" ht="12.75">
      <c r="A98" s="27"/>
    </row>
    <row r="99" spans="1:1" ht="12.75">
      <c r="A99" s="27"/>
    </row>
    <row r="100" spans="1:1" ht="12.75">
      <c r="A100" s="27"/>
    </row>
    <row r="101" spans="1:1" ht="12.75">
      <c r="A101" s="27"/>
    </row>
    <row r="102" spans="1:1" ht="12.75">
      <c r="A102" s="27"/>
    </row>
    <row r="103" spans="1:1" ht="12.75">
      <c r="A103" s="27"/>
    </row>
    <row r="104" spans="1:1" ht="12.75">
      <c r="A104" s="27"/>
    </row>
    <row r="105" spans="1:1" ht="12.75">
      <c r="A105" s="27"/>
    </row>
    <row r="106" spans="1:1" ht="12.75">
      <c r="A106" s="27"/>
    </row>
    <row r="107" spans="1:1" ht="12.75">
      <c r="A107" s="27"/>
    </row>
    <row r="108" spans="1:1" ht="12.75">
      <c r="A108" s="27"/>
    </row>
    <row r="109" spans="1:1" ht="12.75">
      <c r="A109" s="27"/>
    </row>
    <row r="110" spans="1:1" ht="12.75">
      <c r="A110" s="27"/>
    </row>
    <row r="111" spans="1:1" ht="12.75">
      <c r="A111" s="27"/>
    </row>
    <row r="112" spans="1:1" ht="12.75">
      <c r="A112" s="27"/>
    </row>
    <row r="113" spans="1:1" ht="12.75">
      <c r="A113" s="27"/>
    </row>
    <row r="114" spans="1:1" ht="12.75">
      <c r="A114" s="27"/>
    </row>
    <row r="115" spans="1:1" ht="12.75">
      <c r="A115" s="27"/>
    </row>
    <row r="116" spans="1:1" ht="12.75">
      <c r="A116" s="27"/>
    </row>
    <row r="117" spans="1:1" ht="12.75">
      <c r="A117" s="27"/>
    </row>
    <row r="118" spans="1:1" ht="12.75">
      <c r="A118" s="27"/>
    </row>
    <row r="119" spans="1:1" ht="12.75">
      <c r="A119" s="27"/>
    </row>
    <row r="120" spans="1:1" ht="12.75">
      <c r="A120" s="27"/>
    </row>
    <row r="121" spans="1:1" ht="12.75">
      <c r="A121" s="27"/>
    </row>
    <row r="122" spans="1:1" ht="12.75">
      <c r="A122" s="27"/>
    </row>
    <row r="123" spans="1:1" ht="12.75">
      <c r="A123" s="27"/>
    </row>
    <row r="124" spans="1:1" ht="12.75">
      <c r="A124" s="27"/>
    </row>
    <row r="125" spans="1:1" ht="12.75">
      <c r="A125" s="27"/>
    </row>
    <row r="126" spans="1:1" ht="12.75">
      <c r="A126" s="27"/>
    </row>
    <row r="127" spans="1:1" ht="12.75">
      <c r="A127" s="27"/>
    </row>
    <row r="128" spans="1:1" ht="12.75">
      <c r="A128" s="27"/>
    </row>
    <row r="129" spans="1:1" ht="12.75">
      <c r="A129" s="27"/>
    </row>
    <row r="130" spans="1:1" ht="12.75">
      <c r="A130" s="27"/>
    </row>
    <row r="131" spans="1:1" ht="12.75">
      <c r="A131" s="27"/>
    </row>
    <row r="132" spans="1:1" ht="12.75">
      <c r="A132" s="27"/>
    </row>
    <row r="133" spans="1:1" ht="12.75">
      <c r="A133" s="27"/>
    </row>
    <row r="134" spans="1:1" ht="12.75">
      <c r="A134" s="27"/>
    </row>
    <row r="135" spans="1:1" ht="12.75">
      <c r="A135" s="27"/>
    </row>
    <row r="136" spans="1:1" ht="12.75">
      <c r="A136" s="27"/>
    </row>
    <row r="137" spans="1:1" ht="12.75">
      <c r="A137" s="27"/>
    </row>
    <row r="138" spans="1:1" ht="12.75">
      <c r="A138" s="27"/>
    </row>
    <row r="139" spans="1:1" ht="12.75">
      <c r="A139" s="27"/>
    </row>
    <row r="140" spans="1:1" ht="12.75">
      <c r="A140" s="27"/>
    </row>
    <row r="141" spans="1:1" ht="12.75">
      <c r="A141" s="27"/>
    </row>
    <row r="142" spans="1:1" ht="12.75">
      <c r="A142" s="27"/>
    </row>
    <row r="143" spans="1:1" ht="12.75">
      <c r="A143" s="27"/>
    </row>
    <row r="144" spans="1:1" ht="12.75">
      <c r="A144" s="27"/>
    </row>
    <row r="145" spans="1:1" ht="12.75">
      <c r="A145" s="27"/>
    </row>
    <row r="146" spans="1:1" ht="12.75">
      <c r="A146" s="27"/>
    </row>
    <row r="147" spans="1:1" ht="12.75">
      <c r="A147" s="27"/>
    </row>
    <row r="148" spans="1:1" ht="12.75">
      <c r="A148" s="27"/>
    </row>
    <row r="149" spans="1:1" ht="12.75">
      <c r="A149" s="27"/>
    </row>
    <row r="150" spans="1:1" ht="12.75">
      <c r="A150" s="27"/>
    </row>
    <row r="151" spans="1:1" ht="12.75">
      <c r="A151" s="27"/>
    </row>
    <row r="152" spans="1:1" ht="12.75">
      <c r="A152" s="27"/>
    </row>
    <row r="153" spans="1:1" ht="12.75">
      <c r="A153" s="27"/>
    </row>
    <row r="154" spans="1:1" ht="12.75">
      <c r="A154" s="27"/>
    </row>
    <row r="155" spans="1:1" ht="12.75">
      <c r="A155" s="27"/>
    </row>
    <row r="156" spans="1:1" ht="12.75">
      <c r="A156" s="27"/>
    </row>
    <row r="157" spans="1:1" ht="12.75">
      <c r="A157" s="27"/>
    </row>
    <row r="158" spans="1:1" ht="12.75">
      <c r="A158" s="27"/>
    </row>
    <row r="159" spans="1:1" ht="12.75">
      <c r="A159" s="27"/>
    </row>
    <row r="160" spans="1:1" ht="12.75">
      <c r="A160" s="27"/>
    </row>
    <row r="161" spans="1:1" ht="12.75">
      <c r="A161" s="27"/>
    </row>
    <row r="162" spans="1:1" ht="12.75">
      <c r="A162" s="27"/>
    </row>
    <row r="163" spans="1:1" ht="12.75">
      <c r="A163" s="27"/>
    </row>
    <row r="164" spans="1:1" ht="12.75">
      <c r="A164" s="27"/>
    </row>
    <row r="165" spans="1:1" ht="12.75">
      <c r="A165" s="27"/>
    </row>
    <row r="166" spans="1:1" ht="12.75">
      <c r="A166" s="27"/>
    </row>
    <row r="167" spans="1:1" ht="12.75">
      <c r="A167" s="27"/>
    </row>
    <row r="168" spans="1:1" ht="12.75">
      <c r="A168" s="27"/>
    </row>
    <row r="169" spans="1:1" ht="12.75">
      <c r="A169" s="27"/>
    </row>
    <row r="170" spans="1:1" ht="12.75">
      <c r="A170" s="27"/>
    </row>
    <row r="171" spans="1:1" ht="12.75">
      <c r="A171" s="27"/>
    </row>
    <row r="172" spans="1:1" ht="12.75">
      <c r="A172" s="27"/>
    </row>
    <row r="173" spans="1:1" ht="12.75">
      <c r="A173" s="27"/>
    </row>
    <row r="174" spans="1:1" ht="12.75">
      <c r="A174" s="27"/>
    </row>
    <row r="175" spans="1:1" ht="12.75">
      <c r="A175" s="27"/>
    </row>
    <row r="176" spans="1:1" ht="12.75">
      <c r="A176" s="27"/>
    </row>
    <row r="177" spans="1:1" ht="12.75">
      <c r="A177" s="27"/>
    </row>
    <row r="178" spans="1:1" ht="12.75">
      <c r="A178" s="27"/>
    </row>
    <row r="179" spans="1:1" ht="12.75">
      <c r="A179" s="27"/>
    </row>
    <row r="180" spans="1:1" ht="12.75">
      <c r="A180" s="27"/>
    </row>
    <row r="181" spans="1:1" ht="12.75">
      <c r="A181" s="27"/>
    </row>
    <row r="182" spans="1:1" ht="12.75">
      <c r="A182" s="27"/>
    </row>
    <row r="183" spans="1:1" ht="12.75">
      <c r="A183" s="27"/>
    </row>
    <row r="184" spans="1:1" ht="12.75">
      <c r="A184" s="27"/>
    </row>
    <row r="185" spans="1:1" ht="12.75">
      <c r="A185" s="27"/>
    </row>
    <row r="186" spans="1:1" ht="12.75">
      <c r="A186" s="27"/>
    </row>
    <row r="187" spans="1:1" ht="12.75">
      <c r="A187" s="27"/>
    </row>
    <row r="188" spans="1:1" ht="12.75">
      <c r="A188" s="27"/>
    </row>
    <row r="189" spans="1:1" ht="12.75">
      <c r="A189" s="27"/>
    </row>
    <row r="190" spans="1:1" ht="12.75">
      <c r="A190" s="27"/>
    </row>
    <row r="191" spans="1:1" ht="12.75">
      <c r="A191" s="27"/>
    </row>
    <row r="192" spans="1:1" ht="12.75">
      <c r="A192" s="27"/>
    </row>
    <row r="193" spans="1:1" ht="12.75">
      <c r="A193" s="27"/>
    </row>
    <row r="194" spans="1:1" ht="12.75">
      <c r="A194" s="27"/>
    </row>
    <row r="195" spans="1:1" ht="12.75">
      <c r="A195" s="27"/>
    </row>
    <row r="196" spans="1:1" ht="12.75">
      <c r="A196" s="27"/>
    </row>
    <row r="197" spans="1:1" ht="12.75">
      <c r="A197" s="27"/>
    </row>
    <row r="198" spans="1:1" ht="12.75">
      <c r="A198" s="27"/>
    </row>
    <row r="199" spans="1:1" ht="12.75">
      <c r="A199" s="27"/>
    </row>
    <row r="200" spans="1:1" ht="12.75">
      <c r="A200" s="27"/>
    </row>
    <row r="201" spans="1:1" ht="12.75">
      <c r="A201" s="27"/>
    </row>
    <row r="202" spans="1:1" ht="12.75">
      <c r="A202" s="27"/>
    </row>
    <row r="203" spans="1:1" ht="12.75">
      <c r="A203" s="27"/>
    </row>
    <row r="204" spans="1:1" ht="12.75">
      <c r="A204" s="27"/>
    </row>
    <row r="205" spans="1:1" ht="12.75">
      <c r="A205" s="27"/>
    </row>
    <row r="206" spans="1:1" ht="12.75">
      <c r="A206" s="27"/>
    </row>
    <row r="207" spans="1:1" ht="12.75">
      <c r="A207" s="27"/>
    </row>
    <row r="208" spans="1:1" ht="12.75">
      <c r="A208" s="27"/>
    </row>
    <row r="209" spans="1:1" ht="12.75">
      <c r="A209" s="27"/>
    </row>
    <row r="210" spans="1:1" ht="12.75">
      <c r="A210" s="27"/>
    </row>
    <row r="211" spans="1:1" ht="12.75">
      <c r="A211" s="27"/>
    </row>
    <row r="212" spans="1:1" ht="12.75">
      <c r="A212" s="27"/>
    </row>
    <row r="213" spans="1:1" ht="12.75">
      <c r="A213" s="27"/>
    </row>
    <row r="214" spans="1:1" ht="12.75">
      <c r="A214" s="27"/>
    </row>
    <row r="215" spans="1:1" ht="12.75">
      <c r="A215" s="27"/>
    </row>
    <row r="216" spans="1:1" ht="12.75">
      <c r="A216" s="27"/>
    </row>
    <row r="217" spans="1:1" ht="12.75">
      <c r="A217" s="27"/>
    </row>
    <row r="218" spans="1:1" ht="12.75">
      <c r="A218" s="27"/>
    </row>
    <row r="219" spans="1:1" ht="12.75">
      <c r="A219" s="27"/>
    </row>
    <row r="220" spans="1:1" ht="12.75">
      <c r="A220" s="27"/>
    </row>
    <row r="221" spans="1:1" ht="12.75">
      <c r="A221" s="27"/>
    </row>
    <row r="222" spans="1:1" ht="12.75">
      <c r="A222" s="27"/>
    </row>
    <row r="223" spans="1:1" ht="12.75">
      <c r="A223" s="27"/>
    </row>
    <row r="224" spans="1:1" ht="12.75">
      <c r="A224" s="27"/>
    </row>
    <row r="225" spans="1:1" ht="12.75">
      <c r="A225" s="27"/>
    </row>
    <row r="226" spans="1:1" ht="12.75">
      <c r="A226" s="27"/>
    </row>
    <row r="227" spans="1:1" ht="12.75">
      <c r="A227" s="27"/>
    </row>
    <row r="228" spans="1:1" ht="12.75">
      <c r="A228" s="27"/>
    </row>
    <row r="229" spans="1:1" ht="12.75">
      <c r="A229" s="27"/>
    </row>
    <row r="230" spans="1:1" ht="12.75">
      <c r="A230" s="27"/>
    </row>
    <row r="231" spans="1:1" ht="12.75">
      <c r="A231" s="27"/>
    </row>
    <row r="232" spans="1:1" ht="12.75">
      <c r="A232" s="27"/>
    </row>
    <row r="233" spans="1:1" ht="12.75">
      <c r="A233" s="27"/>
    </row>
    <row r="234" spans="1:1" ht="12.75">
      <c r="A234" s="27"/>
    </row>
    <row r="235" spans="1:1" ht="12.75">
      <c r="A235" s="27"/>
    </row>
    <row r="236" spans="1:1" ht="12.75">
      <c r="A236" s="27"/>
    </row>
    <row r="237" spans="1:1" ht="12.75">
      <c r="A237" s="27"/>
    </row>
    <row r="238" spans="1:1" ht="12.75">
      <c r="A238" s="27"/>
    </row>
    <row r="239" spans="1:1" ht="12.75">
      <c r="A239" s="27"/>
    </row>
    <row r="240" spans="1:1" ht="12.75">
      <c r="A240" s="27"/>
    </row>
    <row r="241" spans="1:1" ht="12.75">
      <c r="A241" s="27"/>
    </row>
    <row r="242" spans="1:1" ht="12.75">
      <c r="A242" s="27"/>
    </row>
    <row r="243" spans="1:1" ht="12.75">
      <c r="A243" s="27"/>
    </row>
    <row r="244" spans="1:1" ht="12.75">
      <c r="A244" s="27"/>
    </row>
    <row r="245" spans="1:1" ht="12.75">
      <c r="A245" s="27"/>
    </row>
    <row r="246" spans="1:1" ht="12.75">
      <c r="A246" s="27"/>
    </row>
    <row r="247" spans="1:1" ht="12.75">
      <c r="A247" s="27"/>
    </row>
    <row r="248" spans="1:1" ht="12.75">
      <c r="A248" s="27"/>
    </row>
    <row r="249" spans="1:1" ht="12.75">
      <c r="A249" s="27"/>
    </row>
    <row r="250" spans="1:1" ht="12.75">
      <c r="A250" s="27"/>
    </row>
    <row r="251" spans="1:1" ht="12.75">
      <c r="A251" s="27"/>
    </row>
    <row r="252" spans="1:1" ht="12.75">
      <c r="A252" s="27"/>
    </row>
    <row r="253" spans="1:1" ht="12.75">
      <c r="A253" s="27"/>
    </row>
    <row r="254" spans="1:1" ht="12.75">
      <c r="A254" s="27"/>
    </row>
    <row r="255" spans="1:1" ht="12.75">
      <c r="A255" s="27"/>
    </row>
    <row r="256" spans="1:1" ht="12.75">
      <c r="A256" s="27"/>
    </row>
    <row r="257" spans="1:1" ht="12.75">
      <c r="A257" s="27"/>
    </row>
    <row r="258" spans="1:1" ht="12.75">
      <c r="A258" s="27"/>
    </row>
    <row r="259" spans="1:1" ht="12.75">
      <c r="A259" s="27"/>
    </row>
    <row r="260" spans="1:1" ht="12.75">
      <c r="A260" s="27"/>
    </row>
    <row r="261" spans="1:1" ht="12.75">
      <c r="A261" s="27"/>
    </row>
    <row r="262" spans="1:1" ht="12.75">
      <c r="A262" s="27"/>
    </row>
    <row r="263" spans="1:1" ht="12.75">
      <c r="A263" s="27"/>
    </row>
    <row r="264" spans="1:1" ht="12.75">
      <c r="A264" s="27"/>
    </row>
    <row r="265" spans="1:1" ht="12.75">
      <c r="A265" s="27"/>
    </row>
    <row r="266" spans="1:1" ht="12.75">
      <c r="A266" s="27"/>
    </row>
    <row r="267" spans="1:1" ht="12.75">
      <c r="A267" s="27"/>
    </row>
    <row r="268" spans="1:1" ht="12.75">
      <c r="A268" s="27"/>
    </row>
    <row r="269" spans="1:1" ht="12.75">
      <c r="A269" s="27"/>
    </row>
    <row r="270" spans="1:1" ht="12.75">
      <c r="A270" s="27"/>
    </row>
    <row r="271" spans="1:1" ht="12.75">
      <c r="A271" s="27"/>
    </row>
    <row r="272" spans="1:1" ht="12.75">
      <c r="A272" s="27"/>
    </row>
    <row r="273" spans="1:1" ht="12.75">
      <c r="A273" s="27"/>
    </row>
    <row r="274" spans="1:1" ht="12.75">
      <c r="A274" s="27"/>
    </row>
    <row r="275" spans="1:1" ht="12.75">
      <c r="A275" s="27"/>
    </row>
    <row r="276" spans="1:1" ht="12.75">
      <c r="A276" s="27"/>
    </row>
    <row r="277" spans="1:1" ht="12.75">
      <c r="A277" s="27"/>
    </row>
    <row r="278" spans="1:1" ht="12.75">
      <c r="A278" s="27"/>
    </row>
    <row r="279" spans="1:1" ht="12.75">
      <c r="A279" s="27"/>
    </row>
    <row r="280" spans="1:1" ht="12.75">
      <c r="A280" s="27"/>
    </row>
    <row r="281" spans="1:1" ht="12.75">
      <c r="A281" s="27"/>
    </row>
    <row r="282" spans="1:1" ht="12.75">
      <c r="A282" s="27"/>
    </row>
    <row r="283" spans="1:1" ht="12.75">
      <c r="A283" s="27"/>
    </row>
    <row r="284" spans="1:1" ht="12.75">
      <c r="A284" s="27"/>
    </row>
    <row r="285" spans="1:1" ht="12.75">
      <c r="A285" s="27"/>
    </row>
    <row r="286" spans="1:1" ht="12.75">
      <c r="A286" s="27"/>
    </row>
    <row r="287" spans="1:1" ht="12.75">
      <c r="A287" s="27"/>
    </row>
    <row r="288" spans="1:1" ht="12.75">
      <c r="A288" s="27"/>
    </row>
    <row r="289" spans="1:1" ht="12.75">
      <c r="A289" s="27"/>
    </row>
    <row r="290" spans="1:1" ht="12.75">
      <c r="A290" s="27"/>
    </row>
    <row r="291" spans="1:1" ht="12.75">
      <c r="A291" s="27"/>
    </row>
    <row r="292" spans="1:1" ht="12.75">
      <c r="A292" s="27"/>
    </row>
    <row r="293" spans="1:1" ht="12.75">
      <c r="A293" s="27"/>
    </row>
    <row r="294" spans="1:1" ht="12.75">
      <c r="A294" s="27"/>
    </row>
    <row r="295" spans="1:1" ht="12.75">
      <c r="A295" s="27"/>
    </row>
    <row r="296" spans="1:1" ht="12.75">
      <c r="A296" s="27"/>
    </row>
    <row r="297" spans="1:1" ht="12.75">
      <c r="A297" s="27"/>
    </row>
    <row r="298" spans="1:1" ht="12.75">
      <c r="A298" s="27"/>
    </row>
    <row r="299" spans="1:1" ht="12.75">
      <c r="A299" s="27"/>
    </row>
    <row r="300" spans="1:1" ht="12.75">
      <c r="A300" s="27"/>
    </row>
    <row r="301" spans="1:1" ht="12.75">
      <c r="A301" s="27"/>
    </row>
    <row r="302" spans="1:1" ht="12.75">
      <c r="A302" s="27"/>
    </row>
    <row r="303" spans="1:1" ht="12.75">
      <c r="A303" s="27"/>
    </row>
    <row r="304" spans="1:1" ht="12.75">
      <c r="A304" s="27"/>
    </row>
    <row r="305" spans="1:1" ht="12.75">
      <c r="A305" s="27"/>
    </row>
    <row r="306" spans="1:1" ht="12.75">
      <c r="A306" s="27"/>
    </row>
    <row r="307" spans="1:1" ht="12.75">
      <c r="A307" s="27"/>
    </row>
    <row r="308" spans="1:1" ht="12.75">
      <c r="A308" s="27"/>
    </row>
    <row r="309" spans="1:1" ht="12.75">
      <c r="A309" s="27"/>
    </row>
    <row r="310" spans="1:1" ht="12.75">
      <c r="A310" s="27"/>
    </row>
    <row r="311" spans="1:1" ht="12.75">
      <c r="A311" s="27"/>
    </row>
    <row r="312" spans="1:1" ht="12.75">
      <c r="A312" s="27"/>
    </row>
    <row r="313" spans="1:1" ht="12.75">
      <c r="A313" s="27"/>
    </row>
    <row r="314" spans="1:1" ht="12.75">
      <c r="A314" s="27"/>
    </row>
    <row r="315" spans="1:1" ht="12.75">
      <c r="A315" s="27"/>
    </row>
    <row r="316" spans="1:1" ht="12.75">
      <c r="A316" s="27"/>
    </row>
    <row r="317" spans="1:1" ht="12.75">
      <c r="A317" s="27"/>
    </row>
    <row r="318" spans="1:1" ht="12.75">
      <c r="A318" s="27"/>
    </row>
    <row r="319" spans="1:1" ht="12.75">
      <c r="A319" s="27"/>
    </row>
    <row r="320" spans="1:1" ht="12.75">
      <c r="A320" s="27"/>
    </row>
    <row r="321" spans="1:1" ht="12.75">
      <c r="A321" s="27"/>
    </row>
    <row r="322" spans="1:1" ht="12.75">
      <c r="A322" s="27"/>
    </row>
    <row r="323" spans="1:1" ht="12.75">
      <c r="A323" s="27"/>
    </row>
    <row r="324" spans="1:1" ht="12.75">
      <c r="A324" s="27"/>
    </row>
    <row r="325" spans="1:1" ht="12.75">
      <c r="A325" s="27"/>
    </row>
    <row r="326" spans="1:1" ht="12.75">
      <c r="A326" s="27"/>
    </row>
    <row r="327" spans="1:1" ht="12.75">
      <c r="A327" s="27"/>
    </row>
    <row r="328" spans="1:1" ht="12.75">
      <c r="A328" s="27"/>
    </row>
    <row r="329" spans="1:1" ht="12.75">
      <c r="A329" s="27"/>
    </row>
    <row r="330" spans="1:1" ht="12.75">
      <c r="A330" s="27"/>
    </row>
    <row r="331" spans="1:1" ht="12.75">
      <c r="A331" s="27"/>
    </row>
    <row r="332" spans="1:1" ht="12.75">
      <c r="A332" s="27"/>
    </row>
    <row r="333" spans="1:1" ht="12.75">
      <c r="A333" s="27"/>
    </row>
    <row r="334" spans="1:1" ht="12.75">
      <c r="A334" s="27"/>
    </row>
    <row r="335" spans="1:1" ht="12.75">
      <c r="A335" s="27"/>
    </row>
    <row r="336" spans="1:1" ht="12.75">
      <c r="A336" s="27"/>
    </row>
    <row r="337" spans="1:1" ht="12.75">
      <c r="A337" s="27"/>
    </row>
    <row r="338" spans="1:1" ht="12.75">
      <c r="A338" s="27"/>
    </row>
    <row r="339" spans="1:1" ht="12.75">
      <c r="A339" s="27"/>
    </row>
    <row r="340" spans="1:1" ht="12.75">
      <c r="A340" s="27"/>
    </row>
    <row r="341" spans="1:1" ht="12.75">
      <c r="A341" s="27"/>
    </row>
    <row r="342" spans="1:1" ht="12.75">
      <c r="A342" s="27"/>
    </row>
    <row r="343" spans="1:1" ht="12.75">
      <c r="A343" s="27"/>
    </row>
    <row r="344" spans="1:1" ht="12.75">
      <c r="A344" s="27"/>
    </row>
    <row r="345" spans="1:1" ht="12.75">
      <c r="A345" s="27"/>
    </row>
    <row r="346" spans="1:1" ht="12.75">
      <c r="A346" s="27"/>
    </row>
    <row r="347" spans="1:1" ht="12.75">
      <c r="A347" s="27"/>
    </row>
    <row r="348" spans="1:1" ht="12.75">
      <c r="A348" s="27"/>
    </row>
    <row r="349" spans="1:1" ht="12.75">
      <c r="A349" s="27"/>
    </row>
    <row r="350" spans="1:1" ht="12.75">
      <c r="A350" s="27"/>
    </row>
    <row r="351" spans="1:1" ht="12.75">
      <c r="A351" s="27"/>
    </row>
    <row r="352" spans="1:1" ht="12.75">
      <c r="A352" s="27"/>
    </row>
    <row r="353" spans="1:1" ht="12.75">
      <c r="A353" s="27"/>
    </row>
    <row r="354" spans="1:1" ht="12.75">
      <c r="A354" s="27"/>
    </row>
    <row r="355" spans="1:1" ht="12.75">
      <c r="A355" s="27"/>
    </row>
    <row r="356" spans="1:1" ht="12.75">
      <c r="A356" s="27"/>
    </row>
    <row r="357" spans="1:1" ht="12.75">
      <c r="A357" s="27"/>
    </row>
    <row r="358" spans="1:1" ht="12.75">
      <c r="A358" s="27"/>
    </row>
    <row r="359" spans="1:1" ht="12.75">
      <c r="A359" s="27"/>
    </row>
    <row r="360" spans="1:1" ht="12.75">
      <c r="A360" s="27"/>
    </row>
    <row r="361" spans="1:1" ht="12.75">
      <c r="A361" s="27"/>
    </row>
    <row r="362" spans="1:1" ht="12.75">
      <c r="A362" s="27"/>
    </row>
    <row r="363" spans="1:1" ht="12.75">
      <c r="A363" s="27"/>
    </row>
    <row r="364" spans="1:1" ht="12.75">
      <c r="A364" s="27"/>
    </row>
    <row r="365" spans="1:1" ht="12.75">
      <c r="A365" s="27"/>
    </row>
    <row r="366" spans="1:1" ht="12.75">
      <c r="A366" s="27"/>
    </row>
    <row r="367" spans="1:1" ht="12.75">
      <c r="A367" s="27"/>
    </row>
    <row r="368" spans="1:1" ht="12.75">
      <c r="A368" s="27"/>
    </row>
    <row r="369" spans="1:1" ht="12.75">
      <c r="A369" s="27"/>
    </row>
    <row r="370" spans="1:1" ht="12.75">
      <c r="A370" s="27"/>
    </row>
    <row r="371" spans="1:1" ht="12.75">
      <c r="A371" s="27"/>
    </row>
    <row r="372" spans="1:1" ht="12.75">
      <c r="A372" s="27"/>
    </row>
    <row r="373" spans="1:1" ht="12.75">
      <c r="A373" s="27"/>
    </row>
    <row r="374" spans="1:1" ht="12.75">
      <c r="A374" s="27"/>
    </row>
    <row r="375" spans="1:1" ht="12.75">
      <c r="A375" s="27"/>
    </row>
    <row r="376" spans="1:1" ht="12.75">
      <c r="A376" s="27"/>
    </row>
    <row r="377" spans="1:1" ht="12.75">
      <c r="A377" s="27"/>
    </row>
    <row r="378" spans="1:1" ht="12.75">
      <c r="A378" s="27"/>
    </row>
    <row r="379" spans="1:1" ht="12.75">
      <c r="A379" s="27"/>
    </row>
    <row r="380" spans="1:1" ht="12.75">
      <c r="A380" s="27"/>
    </row>
    <row r="381" spans="1:1" ht="12.75">
      <c r="A381" s="27"/>
    </row>
    <row r="382" spans="1:1" ht="12.75">
      <c r="A382" s="27"/>
    </row>
    <row r="383" spans="1:1" ht="12.75">
      <c r="A383" s="27"/>
    </row>
    <row r="384" spans="1:1" ht="12.75">
      <c r="A384" s="27"/>
    </row>
    <row r="385" spans="1:1" ht="12.75">
      <c r="A385" s="27"/>
    </row>
    <row r="386" spans="1:1" ht="12.75">
      <c r="A386" s="27"/>
    </row>
    <row r="387" spans="1:1" ht="12.75">
      <c r="A387" s="27"/>
    </row>
    <row r="388" spans="1:1" ht="12.75">
      <c r="A388" s="27"/>
    </row>
    <row r="389" spans="1:1" ht="12.75">
      <c r="A389" s="27"/>
    </row>
    <row r="390" spans="1:1" ht="12.75">
      <c r="A390" s="27"/>
    </row>
    <row r="391" spans="1:1" ht="12.75">
      <c r="A391" s="27"/>
    </row>
    <row r="392" spans="1:1" ht="12.75">
      <c r="A392" s="27"/>
    </row>
    <row r="393" spans="1:1" ht="12.75">
      <c r="A393" s="27"/>
    </row>
    <row r="394" spans="1:1" ht="12.75">
      <c r="A394" s="27"/>
    </row>
    <row r="395" spans="1:1" ht="12.75">
      <c r="A395" s="27"/>
    </row>
    <row r="396" spans="1:1" ht="12.75">
      <c r="A396" s="27"/>
    </row>
    <row r="397" spans="1:1" ht="12.75">
      <c r="A397" s="27"/>
    </row>
    <row r="398" spans="1:1" ht="12.75">
      <c r="A398" s="27"/>
    </row>
    <row r="399" spans="1:1" ht="12.75">
      <c r="A399" s="27"/>
    </row>
    <row r="400" spans="1:1" ht="12.75">
      <c r="A400" s="27"/>
    </row>
    <row r="401" spans="1:1" ht="12.75">
      <c r="A401" s="27"/>
    </row>
    <row r="402" spans="1:1" ht="12.75">
      <c r="A402" s="27"/>
    </row>
    <row r="403" spans="1:1" ht="12.75">
      <c r="A403" s="27"/>
    </row>
    <row r="404" spans="1:1" ht="12.75">
      <c r="A404" s="27"/>
    </row>
    <row r="405" spans="1:1" ht="12.75">
      <c r="A405" s="27"/>
    </row>
    <row r="406" spans="1:1" ht="12.75">
      <c r="A406" s="27"/>
    </row>
    <row r="407" spans="1:1" ht="12.75">
      <c r="A407" s="27"/>
    </row>
    <row r="408" spans="1:1" ht="12.75">
      <c r="A408" s="27"/>
    </row>
    <row r="409" spans="1:1" ht="12.75">
      <c r="A409" s="27"/>
    </row>
    <row r="410" spans="1:1" ht="12.75">
      <c r="A410" s="27"/>
    </row>
    <row r="411" spans="1:1" ht="12.75">
      <c r="A411" s="27"/>
    </row>
    <row r="412" spans="1:1" ht="12.75">
      <c r="A412" s="27"/>
    </row>
    <row r="413" spans="1:1" ht="12.75">
      <c r="A413" s="27"/>
    </row>
    <row r="414" spans="1:1" ht="12.75">
      <c r="A414" s="27"/>
    </row>
    <row r="415" spans="1:1" ht="12.75">
      <c r="A415" s="27"/>
    </row>
    <row r="416" spans="1:1" ht="12.75">
      <c r="A416" s="27"/>
    </row>
    <row r="417" spans="1:1" ht="12.75">
      <c r="A417" s="27"/>
    </row>
    <row r="418" spans="1:1" ht="12.75">
      <c r="A418" s="27"/>
    </row>
    <row r="419" spans="1:1" ht="12.75">
      <c r="A419" s="27"/>
    </row>
    <row r="420" spans="1:1" ht="12.75">
      <c r="A420" s="27"/>
    </row>
    <row r="421" spans="1:1" ht="12.75">
      <c r="A421" s="27"/>
    </row>
    <row r="422" spans="1:1" ht="12.75">
      <c r="A422" s="27"/>
    </row>
    <row r="423" spans="1:1" ht="12.75">
      <c r="A423" s="27"/>
    </row>
    <row r="424" spans="1:1" ht="12.75">
      <c r="A424" s="27"/>
    </row>
    <row r="425" spans="1:1" ht="12.75">
      <c r="A425" s="27"/>
    </row>
    <row r="426" spans="1:1" ht="12.75">
      <c r="A426" s="27"/>
    </row>
    <row r="427" spans="1:1" ht="12.75">
      <c r="A427" s="27"/>
    </row>
    <row r="428" spans="1:1" ht="12.75">
      <c r="A428" s="27"/>
    </row>
    <row r="429" spans="1:1" ht="12.75">
      <c r="A429" s="27"/>
    </row>
    <row r="430" spans="1:1" ht="12.75">
      <c r="A430" s="27"/>
    </row>
    <row r="431" spans="1:1" ht="12.75">
      <c r="A431" s="27"/>
    </row>
    <row r="432" spans="1:1" ht="12.75">
      <c r="A432" s="27"/>
    </row>
    <row r="433" spans="1:1" ht="12.75">
      <c r="A433" s="27"/>
    </row>
    <row r="434" spans="1:1" ht="12.75">
      <c r="A434" s="27"/>
    </row>
    <row r="435" spans="1:1" ht="12.75">
      <c r="A435" s="27"/>
    </row>
    <row r="436" spans="1:1" ht="12.75">
      <c r="A436" s="27"/>
    </row>
    <row r="437" spans="1:1" ht="12.75">
      <c r="A437" s="27"/>
    </row>
    <row r="438" spans="1:1" ht="12.75">
      <c r="A438" s="27"/>
    </row>
    <row r="439" spans="1:1" ht="12.75">
      <c r="A439" s="27"/>
    </row>
    <row r="440" spans="1:1" ht="12.75">
      <c r="A440" s="27"/>
    </row>
    <row r="441" spans="1:1" ht="12.75">
      <c r="A441" s="27"/>
    </row>
    <row r="442" spans="1:1" ht="12.75">
      <c r="A442" s="27"/>
    </row>
    <row r="443" spans="1:1" ht="12.75">
      <c r="A443" s="27"/>
    </row>
    <row r="444" spans="1:1" ht="12.75">
      <c r="A444" s="27"/>
    </row>
    <row r="445" spans="1:1" ht="12.75">
      <c r="A445" s="27"/>
    </row>
    <row r="446" spans="1:1" ht="12.75">
      <c r="A446" s="27"/>
    </row>
    <row r="447" spans="1:1" ht="12.75">
      <c r="A447" s="27"/>
    </row>
    <row r="448" spans="1:1" ht="12.75">
      <c r="A448" s="27"/>
    </row>
    <row r="449" spans="1:1" ht="12.75">
      <c r="A449" s="27"/>
    </row>
    <row r="450" spans="1:1" ht="12.75">
      <c r="A450" s="27"/>
    </row>
    <row r="451" spans="1:1" ht="12.75">
      <c r="A451" s="27"/>
    </row>
    <row r="452" spans="1:1" ht="12.75">
      <c r="A452" s="27"/>
    </row>
    <row r="453" spans="1:1" ht="12.75">
      <c r="A453" s="27"/>
    </row>
    <row r="454" spans="1:1" ht="12.75">
      <c r="A454" s="27"/>
    </row>
    <row r="455" spans="1:1" ht="12.75">
      <c r="A455" s="27"/>
    </row>
    <row r="456" spans="1:1" ht="12.75">
      <c r="A456" s="27"/>
    </row>
    <row r="457" spans="1:1" ht="12.75">
      <c r="A457" s="27"/>
    </row>
    <row r="458" spans="1:1" ht="12.75">
      <c r="A458" s="27"/>
    </row>
    <row r="459" spans="1:1" ht="12.75">
      <c r="A459" s="27"/>
    </row>
    <row r="460" spans="1:1" ht="12.75">
      <c r="A460" s="27"/>
    </row>
    <row r="461" spans="1:1" ht="12.75">
      <c r="A461" s="27"/>
    </row>
    <row r="462" spans="1:1" ht="12.75">
      <c r="A462" s="27"/>
    </row>
    <row r="463" spans="1:1" ht="12.75">
      <c r="A463" s="27"/>
    </row>
    <row r="464" spans="1:1" ht="12.75">
      <c r="A464" s="27"/>
    </row>
    <row r="465" spans="1:1" ht="12.75">
      <c r="A465" s="27"/>
    </row>
    <row r="466" spans="1:1" ht="12.75">
      <c r="A466" s="27"/>
    </row>
    <row r="467" spans="1:1" ht="12.75">
      <c r="A467" s="27"/>
    </row>
    <row r="468" spans="1:1" ht="12.75">
      <c r="A468" s="27"/>
    </row>
    <row r="469" spans="1:1" ht="12.75">
      <c r="A469" s="27"/>
    </row>
    <row r="470" spans="1:1" ht="12.75">
      <c r="A470" s="27"/>
    </row>
    <row r="471" spans="1:1" ht="12.75">
      <c r="A471" s="27"/>
    </row>
    <row r="472" spans="1:1" ht="12.75">
      <c r="A472" s="27"/>
    </row>
    <row r="473" spans="1:1" ht="12.75">
      <c r="A473" s="27"/>
    </row>
    <row r="474" spans="1:1" ht="12.75">
      <c r="A474" s="27"/>
    </row>
    <row r="475" spans="1:1" ht="12.75">
      <c r="A475" s="27"/>
    </row>
    <row r="476" spans="1:1" ht="12.75">
      <c r="A476" s="27"/>
    </row>
    <row r="477" spans="1:1" ht="12.75">
      <c r="A477" s="27"/>
    </row>
    <row r="478" spans="1:1" ht="12.75">
      <c r="A478" s="27"/>
    </row>
    <row r="479" spans="1:1" ht="12.75">
      <c r="A479" s="27"/>
    </row>
    <row r="480" spans="1:1" ht="12.75">
      <c r="A480" s="27"/>
    </row>
    <row r="481" spans="1:1" ht="12.75">
      <c r="A481" s="27"/>
    </row>
    <row r="482" spans="1:1" ht="12.75">
      <c r="A482" s="27"/>
    </row>
    <row r="483" spans="1:1" ht="12.75">
      <c r="A483" s="27"/>
    </row>
    <row r="484" spans="1:1" ht="12.75">
      <c r="A484" s="27"/>
    </row>
    <row r="485" spans="1:1" ht="12.75">
      <c r="A485" s="27"/>
    </row>
    <row r="486" spans="1:1" ht="12.75">
      <c r="A486" s="27"/>
    </row>
    <row r="487" spans="1:1" ht="12.75">
      <c r="A487" s="27"/>
    </row>
    <row r="488" spans="1:1" ht="12.75">
      <c r="A488" s="27"/>
    </row>
    <row r="489" spans="1:1" ht="12.75">
      <c r="A489" s="27"/>
    </row>
    <row r="490" spans="1:1" ht="12.75">
      <c r="A490" s="27"/>
    </row>
    <row r="491" spans="1:1" ht="12.75">
      <c r="A491" s="27"/>
    </row>
    <row r="492" spans="1:1" ht="12.75">
      <c r="A492" s="27"/>
    </row>
    <row r="493" spans="1:1" ht="12.75">
      <c r="A493" s="27"/>
    </row>
    <row r="494" spans="1:1" ht="12.75">
      <c r="A494" s="27"/>
    </row>
    <row r="495" spans="1:1" ht="12.75">
      <c r="A495" s="27"/>
    </row>
    <row r="496" spans="1:1" ht="12.75">
      <c r="A496" s="27"/>
    </row>
    <row r="497" spans="1:1" ht="12.75">
      <c r="A497" s="27"/>
    </row>
    <row r="498" spans="1:1" ht="12.75">
      <c r="A498" s="27"/>
    </row>
    <row r="499" spans="1:1" ht="12.75">
      <c r="A499" s="27"/>
    </row>
    <row r="500" spans="1:1" ht="12.75">
      <c r="A500" s="27"/>
    </row>
    <row r="501" spans="1:1" ht="12.75">
      <c r="A501" s="27"/>
    </row>
    <row r="502" spans="1:1" ht="12.75">
      <c r="A502" s="27"/>
    </row>
    <row r="503" spans="1:1" ht="12.75">
      <c r="A503" s="27"/>
    </row>
    <row r="504" spans="1:1" ht="12.75">
      <c r="A504" s="27"/>
    </row>
    <row r="505" spans="1:1" ht="12.75">
      <c r="A505" s="27"/>
    </row>
    <row r="506" spans="1:1" ht="12.75">
      <c r="A506" s="27"/>
    </row>
    <row r="507" spans="1:1" ht="12.75">
      <c r="A507" s="27"/>
    </row>
    <row r="508" spans="1:1" ht="12.75">
      <c r="A508" s="27"/>
    </row>
    <row r="509" spans="1:1" ht="12.75">
      <c r="A509" s="27"/>
    </row>
    <row r="510" spans="1:1" ht="12.75">
      <c r="A510" s="27"/>
    </row>
    <row r="511" spans="1:1" ht="12.75">
      <c r="A511" s="27"/>
    </row>
    <row r="512" spans="1:1" ht="12.75">
      <c r="A512" s="27"/>
    </row>
    <row r="513" spans="1:1" ht="12.75">
      <c r="A513" s="27"/>
    </row>
    <row r="514" spans="1:1" ht="12.75">
      <c r="A514" s="27"/>
    </row>
    <row r="515" spans="1:1" ht="12.75">
      <c r="A515" s="27"/>
    </row>
    <row r="516" spans="1:1" ht="12.75">
      <c r="A516" s="27"/>
    </row>
    <row r="517" spans="1:1" ht="12.75">
      <c r="A517" s="27"/>
    </row>
    <row r="518" spans="1:1" ht="12.75">
      <c r="A518" s="27"/>
    </row>
    <row r="519" spans="1:1" ht="12.75">
      <c r="A519" s="27"/>
    </row>
    <row r="520" spans="1:1" ht="12.75">
      <c r="A520" s="27"/>
    </row>
    <row r="521" spans="1:1" ht="12.75">
      <c r="A521" s="27"/>
    </row>
    <row r="522" spans="1:1" ht="12.75">
      <c r="A522" s="27"/>
    </row>
    <row r="523" spans="1:1" ht="12.75">
      <c r="A523" s="27"/>
    </row>
    <row r="524" spans="1:1" ht="12.75">
      <c r="A524" s="27"/>
    </row>
    <row r="525" spans="1:1" ht="12.75">
      <c r="A525" s="27"/>
    </row>
    <row r="526" spans="1:1" ht="12.75">
      <c r="A526" s="27"/>
    </row>
    <row r="527" spans="1:1" ht="12.75">
      <c r="A527" s="27"/>
    </row>
    <row r="528" spans="1:1" ht="12.75">
      <c r="A528" s="27"/>
    </row>
    <row r="529" spans="1:1" ht="12.75">
      <c r="A529" s="27"/>
    </row>
    <row r="530" spans="1:1" ht="12.75">
      <c r="A530" s="27"/>
    </row>
    <row r="531" spans="1:1" ht="12.75">
      <c r="A531" s="27"/>
    </row>
    <row r="532" spans="1:1" ht="12.75">
      <c r="A532" s="27"/>
    </row>
    <row r="533" spans="1:1" ht="12.75">
      <c r="A533" s="27"/>
    </row>
    <row r="534" spans="1:1" ht="12.75">
      <c r="A534" s="27"/>
    </row>
    <row r="535" spans="1:1" ht="12.75">
      <c r="A535" s="27"/>
    </row>
    <row r="536" spans="1:1" ht="12.75">
      <c r="A536" s="27"/>
    </row>
    <row r="537" spans="1:1" ht="12.75">
      <c r="A537" s="27"/>
    </row>
    <row r="538" spans="1:1" ht="12.75">
      <c r="A538" s="27"/>
    </row>
    <row r="539" spans="1:1" ht="12.75">
      <c r="A539" s="27"/>
    </row>
    <row r="540" spans="1:1" ht="12.75">
      <c r="A540" s="27"/>
    </row>
    <row r="541" spans="1:1" ht="12.75">
      <c r="A541" s="27"/>
    </row>
    <row r="542" spans="1:1" ht="12.75">
      <c r="A542" s="27"/>
    </row>
    <row r="543" spans="1:1" ht="12.75">
      <c r="A543" s="27"/>
    </row>
    <row r="544" spans="1:1" ht="12.75">
      <c r="A544" s="27"/>
    </row>
    <row r="545" spans="1:1" ht="12.75">
      <c r="A545" s="27"/>
    </row>
    <row r="546" spans="1:1" ht="12.75">
      <c r="A546" s="27"/>
    </row>
    <row r="547" spans="1:1" ht="12.75">
      <c r="A547" s="27"/>
    </row>
    <row r="548" spans="1:1" ht="12.75">
      <c r="A548" s="27"/>
    </row>
    <row r="549" spans="1:1" ht="12.75">
      <c r="A549" s="27"/>
    </row>
    <row r="550" spans="1:1" ht="12.75">
      <c r="A550" s="27"/>
    </row>
    <row r="551" spans="1:1" ht="12.75">
      <c r="A551" s="27"/>
    </row>
    <row r="552" spans="1:1" ht="12.75">
      <c r="A552" s="27"/>
    </row>
    <row r="553" spans="1:1" ht="12.75">
      <c r="A553" s="27"/>
    </row>
    <row r="554" spans="1:1" ht="12.75">
      <c r="A554" s="27"/>
    </row>
    <row r="555" spans="1:1" ht="12.75">
      <c r="A555" s="27"/>
    </row>
    <row r="556" spans="1:1" ht="12.75">
      <c r="A556" s="27"/>
    </row>
    <row r="557" spans="1:1" ht="12.75">
      <c r="A557" s="27"/>
    </row>
    <row r="558" spans="1:1" ht="12.75">
      <c r="A558" s="27"/>
    </row>
    <row r="559" spans="1:1" ht="12.75">
      <c r="A559" s="27"/>
    </row>
    <row r="560" spans="1:1" ht="12.75">
      <c r="A560" s="27"/>
    </row>
    <row r="561" spans="1:1" ht="12.75">
      <c r="A561" s="27"/>
    </row>
    <row r="562" spans="1:1" ht="12.75">
      <c r="A562" s="27"/>
    </row>
    <row r="563" spans="1:1" ht="12.75">
      <c r="A563" s="27"/>
    </row>
    <row r="564" spans="1:1" ht="12.75">
      <c r="A564" s="27"/>
    </row>
    <row r="565" spans="1:1" ht="12.75">
      <c r="A565" s="27"/>
    </row>
    <row r="566" spans="1:1" ht="12.75">
      <c r="A566" s="27"/>
    </row>
    <row r="567" spans="1:1" ht="12.75">
      <c r="A567" s="27"/>
    </row>
    <row r="568" spans="1:1" ht="12.75">
      <c r="A568" s="27"/>
    </row>
    <row r="569" spans="1:1" ht="12.75">
      <c r="A569" s="27"/>
    </row>
    <row r="570" spans="1:1" ht="12.75">
      <c r="A570" s="27"/>
    </row>
    <row r="571" spans="1:1" ht="12.75">
      <c r="A571" s="27"/>
    </row>
    <row r="572" spans="1:1" ht="12.75">
      <c r="A572" s="27"/>
    </row>
    <row r="573" spans="1:1" ht="12.75">
      <c r="A573" s="27"/>
    </row>
    <row r="574" spans="1:1" ht="12.75">
      <c r="A574" s="27"/>
    </row>
    <row r="575" spans="1:1" ht="12.75">
      <c r="A575" s="27"/>
    </row>
    <row r="576" spans="1:1" ht="12.75">
      <c r="A576" s="27"/>
    </row>
    <row r="577" spans="1:1" ht="12.75">
      <c r="A577" s="27"/>
    </row>
    <row r="578" spans="1:1" ht="12.75">
      <c r="A578" s="27"/>
    </row>
    <row r="579" spans="1:1" ht="12.75">
      <c r="A579" s="27"/>
    </row>
    <row r="580" spans="1:1" ht="12.75">
      <c r="A580" s="27"/>
    </row>
    <row r="581" spans="1:1" ht="12.75">
      <c r="A581" s="27"/>
    </row>
    <row r="582" spans="1:1" ht="12.75">
      <c r="A582" s="27"/>
    </row>
    <row r="583" spans="1:1" ht="12.75">
      <c r="A583" s="27"/>
    </row>
    <row r="584" spans="1:1" ht="12.75">
      <c r="A584" s="27"/>
    </row>
    <row r="585" spans="1:1" ht="12.75">
      <c r="A585" s="27"/>
    </row>
    <row r="586" spans="1:1" ht="12.75">
      <c r="A586" s="27"/>
    </row>
    <row r="587" spans="1:1" ht="12.75">
      <c r="A587" s="27"/>
    </row>
    <row r="588" spans="1:1" ht="12.75">
      <c r="A588" s="27"/>
    </row>
    <row r="589" spans="1:1" ht="12.75">
      <c r="A589" s="27"/>
    </row>
    <row r="590" spans="1:1" ht="12.75">
      <c r="A590" s="27"/>
    </row>
    <row r="591" spans="1:1" ht="12.75">
      <c r="A591" s="27"/>
    </row>
    <row r="592" spans="1:1" ht="12.75">
      <c r="A592" s="27"/>
    </row>
    <row r="593" spans="1:1" ht="12.75">
      <c r="A593" s="27"/>
    </row>
    <row r="594" spans="1:1" ht="12.75">
      <c r="A594" s="27"/>
    </row>
    <row r="595" spans="1:1" ht="12.75">
      <c r="A595" s="27"/>
    </row>
    <row r="596" spans="1:1" ht="12.75">
      <c r="A596" s="27"/>
    </row>
    <row r="597" spans="1:1" ht="12.75">
      <c r="A597" s="27"/>
    </row>
    <row r="598" spans="1:1" ht="12.75">
      <c r="A598" s="27"/>
    </row>
    <row r="599" spans="1:1" ht="12.75">
      <c r="A599" s="27"/>
    </row>
    <row r="600" spans="1:1" ht="12.75">
      <c r="A600" s="27"/>
    </row>
    <row r="601" spans="1:1" ht="12.75">
      <c r="A601" s="27"/>
    </row>
    <row r="602" spans="1:1" ht="12.75">
      <c r="A602" s="27"/>
    </row>
    <row r="603" spans="1:1" ht="12.75">
      <c r="A603" s="27"/>
    </row>
    <row r="604" spans="1:1" ht="12.75">
      <c r="A604" s="27"/>
    </row>
    <row r="605" spans="1:1" ht="12.75">
      <c r="A605" s="27"/>
    </row>
    <row r="606" spans="1:1" ht="12.75">
      <c r="A606" s="27"/>
    </row>
    <row r="607" spans="1:1" ht="12.75">
      <c r="A607" s="27"/>
    </row>
    <row r="608" spans="1:1" ht="12.75">
      <c r="A608" s="27"/>
    </row>
    <row r="609" spans="1:1" ht="12.75">
      <c r="A609" s="27"/>
    </row>
    <row r="610" spans="1:1" ht="12.75">
      <c r="A610" s="27"/>
    </row>
    <row r="611" spans="1:1" ht="12.75">
      <c r="A611" s="27"/>
    </row>
    <row r="612" spans="1:1" ht="12.75">
      <c r="A612" s="27"/>
    </row>
    <row r="613" spans="1:1" ht="12.75">
      <c r="A613" s="27"/>
    </row>
    <row r="614" spans="1:1" ht="12.75">
      <c r="A614" s="27"/>
    </row>
    <row r="615" spans="1:1" ht="12.75">
      <c r="A615" s="27"/>
    </row>
    <row r="616" spans="1:1" ht="12.75">
      <c r="A616" s="27"/>
    </row>
    <row r="617" spans="1:1" ht="12.75">
      <c r="A617" s="27"/>
    </row>
    <row r="618" spans="1:1" ht="12.75">
      <c r="A618" s="27"/>
    </row>
    <row r="619" spans="1:1" ht="12.75">
      <c r="A619" s="27"/>
    </row>
    <row r="620" spans="1:1" ht="12.75">
      <c r="A620" s="27"/>
    </row>
    <row r="621" spans="1:1" ht="12.75">
      <c r="A621" s="27"/>
    </row>
    <row r="622" spans="1:1" ht="12.75">
      <c r="A622" s="27"/>
    </row>
    <row r="623" spans="1:1" ht="12.75">
      <c r="A623" s="27"/>
    </row>
    <row r="624" spans="1:1" ht="12.75">
      <c r="A624" s="27"/>
    </row>
    <row r="625" spans="1:1" ht="12.75">
      <c r="A625" s="27"/>
    </row>
    <row r="626" spans="1:1" ht="12.75">
      <c r="A626" s="27"/>
    </row>
    <row r="627" spans="1:1" ht="12.75">
      <c r="A627" s="27"/>
    </row>
    <row r="628" spans="1:1" ht="12.75">
      <c r="A628" s="27"/>
    </row>
    <row r="629" spans="1:1" ht="12.75">
      <c r="A629" s="27"/>
    </row>
    <row r="630" spans="1:1" ht="12.75">
      <c r="A630" s="27"/>
    </row>
    <row r="631" spans="1:1" ht="12.75">
      <c r="A631" s="27"/>
    </row>
    <row r="632" spans="1:1" ht="12.75">
      <c r="A632" s="27"/>
    </row>
    <row r="633" spans="1:1" ht="12.75">
      <c r="A633" s="27"/>
    </row>
    <row r="634" spans="1:1" ht="12.75">
      <c r="A634" s="27"/>
    </row>
    <row r="635" spans="1:1" ht="12.75">
      <c r="A635" s="27"/>
    </row>
    <row r="636" spans="1:1" ht="12.75">
      <c r="A636" s="27"/>
    </row>
    <row r="637" spans="1:1" ht="12.75">
      <c r="A637" s="27"/>
    </row>
    <row r="638" spans="1:1" ht="12.75">
      <c r="A638" s="27"/>
    </row>
    <row r="639" spans="1:1" ht="12.75">
      <c r="A639" s="27"/>
    </row>
    <row r="640" spans="1:1" ht="12.75">
      <c r="A640" s="27"/>
    </row>
    <row r="641" spans="1:1" ht="12.75">
      <c r="A641" s="27"/>
    </row>
    <row r="642" spans="1:1" ht="12.75">
      <c r="A642" s="27"/>
    </row>
    <row r="643" spans="1:1" ht="12.75">
      <c r="A643" s="27"/>
    </row>
    <row r="644" spans="1:1" ht="12.75">
      <c r="A644" s="27"/>
    </row>
    <row r="645" spans="1:1" ht="12.75">
      <c r="A645" s="27"/>
    </row>
    <row r="646" spans="1:1" ht="12.75">
      <c r="A646" s="27"/>
    </row>
    <row r="647" spans="1:1" ht="12.75">
      <c r="A647" s="27"/>
    </row>
    <row r="648" spans="1:1" ht="12.75">
      <c r="A648" s="27"/>
    </row>
    <row r="649" spans="1:1" ht="12.75">
      <c r="A649" s="27"/>
    </row>
    <row r="650" spans="1:1" ht="12.75">
      <c r="A650" s="27"/>
    </row>
    <row r="651" spans="1:1" ht="12.75">
      <c r="A651" s="27"/>
    </row>
    <row r="652" spans="1:1" ht="12.75">
      <c r="A652" s="27"/>
    </row>
    <row r="653" spans="1:1" ht="12.75">
      <c r="A653" s="27"/>
    </row>
    <row r="654" spans="1:1" ht="12.75">
      <c r="A654" s="27"/>
    </row>
    <row r="655" spans="1:1" ht="12.75">
      <c r="A655" s="27"/>
    </row>
    <row r="656" spans="1:1" ht="12.75">
      <c r="A656" s="27"/>
    </row>
    <row r="657" spans="1:1" ht="12.75">
      <c r="A657" s="27"/>
    </row>
    <row r="658" spans="1:1" ht="12.75">
      <c r="A658" s="27"/>
    </row>
    <row r="659" spans="1:1" ht="12.75">
      <c r="A659" s="27"/>
    </row>
    <row r="660" spans="1:1" ht="12.75">
      <c r="A660" s="27"/>
    </row>
    <row r="661" spans="1:1" ht="12.75">
      <c r="A661" s="27"/>
    </row>
    <row r="662" spans="1:1" ht="12.75">
      <c r="A662" s="27"/>
    </row>
    <row r="663" spans="1:1" ht="12.75">
      <c r="A663" s="27"/>
    </row>
    <row r="664" spans="1:1" ht="12.75">
      <c r="A664" s="27"/>
    </row>
    <row r="665" spans="1:1" ht="12.75">
      <c r="A665" s="27"/>
    </row>
    <row r="666" spans="1:1" ht="12.75">
      <c r="A666" s="27"/>
    </row>
    <row r="667" spans="1:1" ht="12.75">
      <c r="A667" s="27"/>
    </row>
    <row r="668" spans="1:1" ht="12.75">
      <c r="A668" s="27"/>
    </row>
    <row r="669" spans="1:1" ht="12.75">
      <c r="A669" s="27"/>
    </row>
    <row r="670" spans="1:1" ht="12.75">
      <c r="A670" s="27"/>
    </row>
    <row r="671" spans="1:1" ht="12.75">
      <c r="A671" s="27"/>
    </row>
    <row r="672" spans="1:1" ht="12.75">
      <c r="A672" s="27"/>
    </row>
    <row r="673" spans="1:1" ht="12.75">
      <c r="A673" s="27"/>
    </row>
    <row r="674" spans="1:1" ht="12.75">
      <c r="A674" s="27"/>
    </row>
    <row r="675" spans="1:1" ht="12.75">
      <c r="A675" s="27"/>
    </row>
    <row r="676" spans="1:1" ht="12.75">
      <c r="A676" s="27"/>
    </row>
    <row r="677" spans="1:1" ht="12.75">
      <c r="A677" s="27"/>
    </row>
    <row r="678" spans="1:1" ht="12.75">
      <c r="A678" s="27"/>
    </row>
    <row r="679" spans="1:1" ht="12.75">
      <c r="A679" s="27"/>
    </row>
    <row r="680" spans="1:1" ht="12.75">
      <c r="A680" s="27"/>
    </row>
    <row r="681" spans="1:1" ht="12.75">
      <c r="A681" s="27"/>
    </row>
    <row r="682" spans="1:1" ht="12.75">
      <c r="A682" s="27"/>
    </row>
    <row r="683" spans="1:1" ht="12.75">
      <c r="A683" s="27"/>
    </row>
    <row r="684" spans="1:1" ht="12.75">
      <c r="A684" s="27"/>
    </row>
    <row r="685" spans="1:1" ht="12.75">
      <c r="A685" s="27"/>
    </row>
    <row r="686" spans="1:1" ht="12.75">
      <c r="A686" s="27"/>
    </row>
    <row r="687" spans="1:1" ht="12.75">
      <c r="A687" s="27"/>
    </row>
    <row r="688" spans="1:1" ht="12.75">
      <c r="A688" s="27"/>
    </row>
    <row r="689" spans="1:1" ht="12.75">
      <c r="A689" s="27"/>
    </row>
    <row r="690" spans="1:1" ht="12.75">
      <c r="A690" s="27"/>
    </row>
    <row r="691" spans="1:1" ht="12.75">
      <c r="A691" s="27"/>
    </row>
    <row r="692" spans="1:1" ht="12.75">
      <c r="A692" s="27"/>
    </row>
    <row r="693" spans="1:1" ht="12.75">
      <c r="A693" s="27"/>
    </row>
    <row r="694" spans="1:1" ht="12.75">
      <c r="A694" s="27"/>
    </row>
    <row r="695" spans="1:1" ht="12.75">
      <c r="A695" s="27"/>
    </row>
    <row r="696" spans="1:1" ht="12.75">
      <c r="A696" s="27"/>
    </row>
    <row r="697" spans="1:1" ht="12.75">
      <c r="A697" s="27"/>
    </row>
    <row r="698" spans="1:1" ht="12.75">
      <c r="A698" s="27"/>
    </row>
    <row r="699" spans="1:1" ht="12.75">
      <c r="A699" s="27"/>
    </row>
    <row r="700" spans="1:1" ht="12.75">
      <c r="A700" s="27"/>
    </row>
    <row r="701" spans="1:1" ht="12.75">
      <c r="A701" s="27"/>
    </row>
    <row r="702" spans="1:1" ht="12.75">
      <c r="A702" s="27"/>
    </row>
    <row r="703" spans="1:1" ht="12.75">
      <c r="A703" s="27"/>
    </row>
    <row r="704" spans="1:1" ht="12.75">
      <c r="A704" s="27"/>
    </row>
    <row r="705" spans="1:1" ht="12.75">
      <c r="A705" s="27"/>
    </row>
    <row r="706" spans="1:1" ht="12.75">
      <c r="A706" s="27"/>
    </row>
    <row r="707" spans="1:1" ht="12.75">
      <c r="A707" s="27"/>
    </row>
    <row r="708" spans="1:1" ht="12.75">
      <c r="A708" s="27"/>
    </row>
    <row r="709" spans="1:1" ht="12.75">
      <c r="A709" s="27"/>
    </row>
    <row r="710" spans="1:1" ht="12.75">
      <c r="A710" s="27"/>
    </row>
    <row r="711" spans="1:1" ht="12.75">
      <c r="A711" s="27"/>
    </row>
    <row r="712" spans="1:1" ht="12.75">
      <c r="A712" s="27"/>
    </row>
    <row r="713" spans="1:1" ht="12.75">
      <c r="A713" s="27"/>
    </row>
    <row r="714" spans="1:1" ht="12.75">
      <c r="A714" s="27"/>
    </row>
    <row r="715" spans="1:1" ht="12.75">
      <c r="A715" s="27"/>
    </row>
    <row r="716" spans="1:1" ht="12.75">
      <c r="A716" s="27"/>
    </row>
    <row r="717" spans="1:1" ht="12.75">
      <c r="A717" s="27"/>
    </row>
    <row r="718" spans="1:1" ht="12.75">
      <c r="A718" s="27"/>
    </row>
    <row r="719" spans="1:1" ht="12.75">
      <c r="A719" s="27"/>
    </row>
    <row r="720" spans="1:1" ht="12.75">
      <c r="A720" s="27"/>
    </row>
    <row r="721" spans="1:1" ht="12.75">
      <c r="A721" s="27"/>
    </row>
    <row r="722" spans="1:1" ht="12.75">
      <c r="A722" s="27"/>
    </row>
    <row r="723" spans="1:1" ht="12.75">
      <c r="A723" s="27"/>
    </row>
    <row r="724" spans="1:1" ht="12.75">
      <c r="A724" s="27"/>
    </row>
    <row r="725" spans="1:1" ht="12.75">
      <c r="A725" s="27"/>
    </row>
    <row r="726" spans="1:1" ht="12.75">
      <c r="A726" s="27"/>
    </row>
    <row r="727" spans="1:1" ht="12.75">
      <c r="A727" s="27"/>
    </row>
    <row r="728" spans="1:1" ht="12.75">
      <c r="A728" s="27"/>
    </row>
    <row r="729" spans="1:1" ht="12.75">
      <c r="A729" s="27"/>
    </row>
    <row r="730" spans="1:1" ht="12.75">
      <c r="A730" s="27"/>
    </row>
    <row r="731" spans="1:1" ht="12.75">
      <c r="A731" s="27"/>
    </row>
    <row r="732" spans="1:1" ht="12.75">
      <c r="A732" s="27"/>
    </row>
    <row r="733" spans="1:1" ht="12.75">
      <c r="A733" s="27"/>
    </row>
    <row r="734" spans="1:1" ht="12.75">
      <c r="A734" s="27"/>
    </row>
    <row r="735" spans="1:1" ht="12.75">
      <c r="A735" s="27"/>
    </row>
    <row r="736" spans="1:1" ht="12.75">
      <c r="A736" s="27"/>
    </row>
    <row r="737" spans="1:1" ht="12.75">
      <c r="A737" s="27"/>
    </row>
    <row r="738" spans="1:1" ht="12.75">
      <c r="A738" s="27"/>
    </row>
    <row r="739" spans="1:1" ht="12.75">
      <c r="A739" s="27"/>
    </row>
    <row r="740" spans="1:1" ht="12.75">
      <c r="A740" s="27"/>
    </row>
    <row r="741" spans="1:1" ht="12.75">
      <c r="A741" s="27"/>
    </row>
    <row r="742" spans="1:1" ht="12.75">
      <c r="A742" s="27"/>
    </row>
    <row r="743" spans="1:1" ht="12.75">
      <c r="A743" s="27"/>
    </row>
    <row r="744" spans="1:1" ht="12.75">
      <c r="A744" s="27"/>
    </row>
    <row r="745" spans="1:1" ht="12.75">
      <c r="A745" s="27"/>
    </row>
    <row r="746" spans="1:1" ht="12.75">
      <c r="A746" s="27"/>
    </row>
    <row r="747" spans="1:1" ht="12.75">
      <c r="A747" s="27"/>
    </row>
    <row r="748" spans="1:1" ht="12.75">
      <c r="A748" s="27"/>
    </row>
    <row r="749" spans="1:1" ht="12.75">
      <c r="A749" s="27"/>
    </row>
    <row r="750" spans="1:1" ht="12.75">
      <c r="A750" s="27"/>
    </row>
    <row r="751" spans="1:1" ht="12.75">
      <c r="A751" s="27"/>
    </row>
    <row r="752" spans="1:1" ht="12.75">
      <c r="A752" s="27"/>
    </row>
    <row r="753" spans="1:1" ht="12.75">
      <c r="A753" s="27"/>
    </row>
    <row r="754" spans="1:1" ht="12.75">
      <c r="A754" s="27"/>
    </row>
    <row r="755" spans="1:1" ht="12.75">
      <c r="A755" s="27"/>
    </row>
    <row r="756" spans="1:1" ht="12.75">
      <c r="A756" s="27"/>
    </row>
    <row r="757" spans="1:1" ht="12.75">
      <c r="A757" s="27"/>
    </row>
    <row r="758" spans="1:1" ht="12.75">
      <c r="A758" s="27"/>
    </row>
    <row r="759" spans="1:1" ht="12.75">
      <c r="A759" s="27"/>
    </row>
    <row r="760" spans="1:1" ht="12.75">
      <c r="A760" s="27"/>
    </row>
    <row r="761" spans="1:1" ht="12.75">
      <c r="A761" s="27"/>
    </row>
    <row r="762" spans="1:1" ht="12.75">
      <c r="A762" s="27"/>
    </row>
    <row r="763" spans="1:1" ht="12.75">
      <c r="A763" s="27"/>
    </row>
    <row r="764" spans="1:1" ht="12.75">
      <c r="A764" s="27"/>
    </row>
    <row r="765" spans="1:1" ht="12.75">
      <c r="A765" s="27"/>
    </row>
    <row r="766" spans="1:1" ht="12.75">
      <c r="A766" s="27"/>
    </row>
    <row r="767" spans="1:1" ht="12.75">
      <c r="A767" s="27"/>
    </row>
    <row r="768" spans="1:1" ht="12.75">
      <c r="A768" s="27"/>
    </row>
    <row r="769" spans="1:1" ht="12.75">
      <c r="A769" s="27"/>
    </row>
    <row r="770" spans="1:1" ht="12.75">
      <c r="A770" s="27"/>
    </row>
    <row r="771" spans="1:1" ht="12.75">
      <c r="A771" s="27"/>
    </row>
    <row r="772" spans="1:1" ht="12.75">
      <c r="A772" s="27"/>
    </row>
    <row r="773" spans="1:1" ht="12.75">
      <c r="A773" s="27"/>
    </row>
    <row r="774" spans="1:1" ht="12.75">
      <c r="A774" s="27"/>
    </row>
    <row r="775" spans="1:1" ht="12.75">
      <c r="A775" s="27"/>
    </row>
    <row r="776" spans="1:1" ht="12.75">
      <c r="A776" s="27"/>
    </row>
    <row r="777" spans="1:1" ht="12.75">
      <c r="A777" s="27"/>
    </row>
    <row r="778" spans="1:1" ht="12.75">
      <c r="A778" s="27"/>
    </row>
    <row r="779" spans="1:1" ht="12.75">
      <c r="A779" s="27"/>
    </row>
    <row r="780" spans="1:1" ht="12.75">
      <c r="A780" s="27"/>
    </row>
    <row r="781" spans="1:1" ht="12.75">
      <c r="A781" s="27"/>
    </row>
    <row r="782" spans="1:1" ht="12.75">
      <c r="A782" s="27"/>
    </row>
    <row r="783" spans="1:1" ht="12.75">
      <c r="A783" s="27"/>
    </row>
    <row r="784" spans="1:1" ht="12.75">
      <c r="A784" s="27"/>
    </row>
    <row r="785" spans="1:1" ht="12.75">
      <c r="A785" s="27"/>
    </row>
    <row r="786" spans="1:1" ht="12.75">
      <c r="A786" s="27"/>
    </row>
    <row r="787" spans="1:1" ht="12.75">
      <c r="A787" s="27"/>
    </row>
    <row r="788" spans="1:1" ht="12.75">
      <c r="A788" s="27"/>
    </row>
    <row r="789" spans="1:1" ht="12.75">
      <c r="A789" s="27"/>
    </row>
    <row r="790" spans="1:1" ht="12.75">
      <c r="A790" s="27"/>
    </row>
    <row r="791" spans="1:1" ht="12.75">
      <c r="A791" s="27"/>
    </row>
    <row r="792" spans="1:1" ht="12.75">
      <c r="A792" s="27"/>
    </row>
    <row r="793" spans="1:1" ht="12.75">
      <c r="A793" s="27"/>
    </row>
    <row r="794" spans="1:1" ht="12.75">
      <c r="A794" s="27"/>
    </row>
    <row r="795" spans="1:1" ht="12.75">
      <c r="A795" s="27"/>
    </row>
    <row r="796" spans="1:1" ht="12.75">
      <c r="A796" s="27"/>
    </row>
    <row r="797" spans="1:1" ht="12.75">
      <c r="A797" s="27"/>
    </row>
    <row r="798" spans="1:1" ht="12.75">
      <c r="A798" s="27"/>
    </row>
    <row r="799" spans="1:1" ht="12.75">
      <c r="A799" s="27"/>
    </row>
    <row r="800" spans="1:1" ht="12.75">
      <c r="A800" s="27"/>
    </row>
    <row r="801" spans="1:1" ht="12.75">
      <c r="A801" s="27"/>
    </row>
    <row r="802" spans="1:1" ht="12.75">
      <c r="A802" s="27"/>
    </row>
    <row r="803" spans="1:1" ht="12.75">
      <c r="A803" s="27"/>
    </row>
    <row r="804" spans="1:1" ht="12.75">
      <c r="A804" s="27"/>
    </row>
    <row r="805" spans="1:1" ht="12.75">
      <c r="A805" s="27"/>
    </row>
    <row r="806" spans="1:1" ht="12.75">
      <c r="A806" s="27"/>
    </row>
    <row r="807" spans="1:1" ht="12.75">
      <c r="A807" s="27"/>
    </row>
    <row r="808" spans="1:1" ht="12.75">
      <c r="A808" s="27"/>
    </row>
    <row r="809" spans="1:1" ht="12.75">
      <c r="A809" s="27"/>
    </row>
    <row r="810" spans="1:1" ht="12.75">
      <c r="A810" s="27"/>
    </row>
    <row r="811" spans="1:1" ht="12.75">
      <c r="A811" s="27"/>
    </row>
    <row r="812" spans="1:1" ht="12.75">
      <c r="A812" s="27"/>
    </row>
    <row r="813" spans="1:1" ht="12.75">
      <c r="A813" s="27"/>
    </row>
    <row r="814" spans="1:1" ht="12.75">
      <c r="A814" s="27"/>
    </row>
    <row r="815" spans="1:1" ht="12.75">
      <c r="A815" s="27"/>
    </row>
    <row r="816" spans="1:1" ht="12.75">
      <c r="A816" s="27"/>
    </row>
    <row r="817" spans="1:1" ht="12.75">
      <c r="A817" s="27"/>
    </row>
    <row r="818" spans="1:1" ht="12.75">
      <c r="A818" s="27"/>
    </row>
    <row r="819" spans="1:1" ht="12.75">
      <c r="A819" s="27"/>
    </row>
    <row r="820" spans="1:1" ht="12.75">
      <c r="A820" s="27"/>
    </row>
    <row r="821" spans="1:1" ht="12.75">
      <c r="A821" s="27"/>
    </row>
    <row r="822" spans="1:1" ht="12.75">
      <c r="A822" s="27"/>
    </row>
    <row r="823" spans="1:1" ht="12.75">
      <c r="A823" s="27"/>
    </row>
    <row r="824" spans="1:1" ht="12.75">
      <c r="A824" s="27"/>
    </row>
    <row r="825" spans="1:1" ht="12.75">
      <c r="A825" s="27"/>
    </row>
    <row r="826" spans="1:1" ht="12.75">
      <c r="A826" s="27"/>
    </row>
    <row r="827" spans="1:1" ht="12.75">
      <c r="A827" s="27"/>
    </row>
    <row r="828" spans="1:1" ht="12.75">
      <c r="A828" s="27"/>
    </row>
    <row r="829" spans="1:1" ht="12.75">
      <c r="A829" s="27"/>
    </row>
    <row r="830" spans="1:1" ht="12.75">
      <c r="A830" s="27"/>
    </row>
    <row r="831" spans="1:1" ht="12.75">
      <c r="A831" s="27"/>
    </row>
    <row r="832" spans="1:1" ht="12.75">
      <c r="A832" s="27"/>
    </row>
    <row r="833" spans="1:1" ht="12.75">
      <c r="A833" s="27"/>
    </row>
    <row r="834" spans="1:1" ht="12.75">
      <c r="A834" s="27"/>
    </row>
    <row r="835" spans="1:1" ht="12.75">
      <c r="A835" s="27"/>
    </row>
    <row r="836" spans="1:1" ht="12.75">
      <c r="A836" s="27"/>
    </row>
    <row r="837" spans="1:1" ht="12.75">
      <c r="A837" s="27"/>
    </row>
    <row r="838" spans="1:1" ht="12.75">
      <c r="A838" s="27"/>
    </row>
    <row r="839" spans="1:1" ht="12.75">
      <c r="A839" s="27"/>
    </row>
    <row r="840" spans="1:1" ht="12.75">
      <c r="A840" s="27"/>
    </row>
    <row r="841" spans="1:1" ht="12.75">
      <c r="A841" s="27"/>
    </row>
    <row r="842" spans="1:1" ht="12.75">
      <c r="A842" s="27"/>
    </row>
    <row r="843" spans="1:1" ht="12.75">
      <c r="A843" s="27"/>
    </row>
    <row r="844" spans="1:1" ht="12.75">
      <c r="A844" s="27"/>
    </row>
    <row r="845" spans="1:1" ht="12.75">
      <c r="A845" s="27"/>
    </row>
    <row r="846" spans="1:1" ht="12.75">
      <c r="A846" s="27"/>
    </row>
    <row r="847" spans="1:1" ht="12.75">
      <c r="A847" s="27"/>
    </row>
    <row r="848" spans="1:1" ht="12.75">
      <c r="A848" s="27"/>
    </row>
    <row r="849" spans="1:1" ht="12.75">
      <c r="A849" s="27"/>
    </row>
    <row r="850" spans="1:1" ht="12.75">
      <c r="A850" s="27"/>
    </row>
    <row r="851" spans="1:1" ht="12.75">
      <c r="A851" s="27"/>
    </row>
    <row r="852" spans="1:1" ht="12.75">
      <c r="A852" s="27"/>
    </row>
    <row r="853" spans="1:1" ht="12.75">
      <c r="A853" s="27"/>
    </row>
    <row r="854" spans="1:1" ht="12.75">
      <c r="A854" s="27"/>
    </row>
    <row r="855" spans="1:1" ht="12.75">
      <c r="A855" s="27"/>
    </row>
    <row r="856" spans="1:1" ht="12.75">
      <c r="A856" s="27"/>
    </row>
    <row r="857" spans="1:1" ht="12.75">
      <c r="A857" s="27"/>
    </row>
    <row r="858" spans="1:1" ht="12.75">
      <c r="A858" s="27"/>
    </row>
    <row r="859" spans="1:1" ht="12.75">
      <c r="A859" s="27"/>
    </row>
    <row r="860" spans="1:1" ht="12.75">
      <c r="A860" s="27"/>
    </row>
    <row r="861" spans="1:1" ht="12.75">
      <c r="A861" s="27"/>
    </row>
    <row r="862" spans="1:1" ht="12.75">
      <c r="A862" s="27"/>
    </row>
    <row r="863" spans="1:1" ht="12.75">
      <c r="A863" s="27"/>
    </row>
    <row r="864" spans="1:1" ht="12.75">
      <c r="A864" s="27"/>
    </row>
    <row r="865" spans="1:1" ht="12.75">
      <c r="A865" s="27"/>
    </row>
    <row r="866" spans="1:1" ht="12.75">
      <c r="A866" s="27"/>
    </row>
    <row r="867" spans="1:1" ht="12.75">
      <c r="A867" s="27"/>
    </row>
    <row r="868" spans="1:1" ht="12.75">
      <c r="A868" s="27"/>
    </row>
    <row r="869" spans="1:1" ht="12.75">
      <c r="A869" s="27"/>
    </row>
    <row r="870" spans="1:1" ht="12.75">
      <c r="A870" s="27"/>
    </row>
    <row r="871" spans="1:1" ht="12.75">
      <c r="A871" s="27"/>
    </row>
    <row r="872" spans="1:1" ht="12.75">
      <c r="A872" s="27"/>
    </row>
    <row r="873" spans="1:1" ht="12.75">
      <c r="A873" s="27"/>
    </row>
    <row r="874" spans="1:1" ht="12.75">
      <c r="A874" s="27"/>
    </row>
    <row r="875" spans="1:1" ht="12.75">
      <c r="A875" s="27"/>
    </row>
    <row r="876" spans="1:1" ht="12.75">
      <c r="A876" s="27"/>
    </row>
    <row r="877" spans="1:1" ht="12.75">
      <c r="A877" s="27"/>
    </row>
    <row r="878" spans="1:1" ht="12.75">
      <c r="A878" s="27"/>
    </row>
    <row r="879" spans="1:1" ht="12.75">
      <c r="A879" s="27"/>
    </row>
    <row r="880" spans="1:1" ht="12.75">
      <c r="A880" s="27"/>
    </row>
    <row r="881" spans="1:1" ht="12.75">
      <c r="A881" s="27"/>
    </row>
    <row r="882" spans="1:1" ht="12.75">
      <c r="A882" s="27"/>
    </row>
    <row r="883" spans="1:1" ht="12.75">
      <c r="A883" s="27"/>
    </row>
    <row r="884" spans="1:1" ht="12.75">
      <c r="A884" s="27"/>
    </row>
    <row r="885" spans="1:1" ht="12.75">
      <c r="A885" s="27"/>
    </row>
    <row r="886" spans="1:1" ht="12.75">
      <c r="A886" s="27"/>
    </row>
    <row r="887" spans="1:1" ht="12.75">
      <c r="A887" s="27"/>
    </row>
    <row r="888" spans="1:1" ht="12.75">
      <c r="A888" s="27"/>
    </row>
    <row r="889" spans="1:1" ht="12.75">
      <c r="A889" s="27"/>
    </row>
    <row r="890" spans="1:1" ht="12.75">
      <c r="A890" s="27"/>
    </row>
    <row r="891" spans="1:1" ht="12.75">
      <c r="A891" s="27"/>
    </row>
    <row r="892" spans="1:1" ht="12.75">
      <c r="A892" s="27"/>
    </row>
    <row r="893" spans="1:1" ht="12.75">
      <c r="A893" s="27"/>
    </row>
    <row r="894" spans="1:1" ht="12.75">
      <c r="A894" s="27"/>
    </row>
    <row r="895" spans="1:1" ht="12.75">
      <c r="A895" s="27"/>
    </row>
    <row r="896" spans="1:1" ht="12.75">
      <c r="A896" s="27"/>
    </row>
    <row r="897" spans="1:1" ht="12.75">
      <c r="A897" s="27"/>
    </row>
    <row r="898" spans="1:1" ht="12.75">
      <c r="A898" s="27"/>
    </row>
    <row r="899" spans="1:1" ht="12.75">
      <c r="A899" s="27"/>
    </row>
    <row r="900" spans="1:1" ht="12.75">
      <c r="A900" s="27"/>
    </row>
    <row r="901" spans="1:1" ht="12.75">
      <c r="A901" s="27"/>
    </row>
    <row r="902" spans="1:1" ht="12.75">
      <c r="A902" s="27"/>
    </row>
    <row r="903" spans="1:1" ht="12.75">
      <c r="A903" s="27"/>
    </row>
    <row r="904" spans="1:1" ht="12.75">
      <c r="A904" s="27"/>
    </row>
    <row r="905" spans="1:1" ht="12.75">
      <c r="A905" s="27"/>
    </row>
    <row r="906" spans="1:1" ht="12.75">
      <c r="A906" s="27"/>
    </row>
    <row r="907" spans="1:1" ht="12.75">
      <c r="A907" s="27"/>
    </row>
    <row r="908" spans="1:1" ht="12.75">
      <c r="A908" s="27"/>
    </row>
    <row r="909" spans="1:1" ht="12.75">
      <c r="A909" s="27"/>
    </row>
    <row r="910" spans="1:1" ht="12.75">
      <c r="A910" s="27"/>
    </row>
    <row r="911" spans="1:1" ht="12.75">
      <c r="A911" s="27"/>
    </row>
    <row r="912" spans="1:1" ht="12.75">
      <c r="A912" s="27"/>
    </row>
    <row r="913" spans="1:1" ht="12.75">
      <c r="A913" s="27"/>
    </row>
    <row r="914" spans="1:1" ht="12.75">
      <c r="A914" s="27"/>
    </row>
    <row r="915" spans="1:1" ht="12.75">
      <c r="A915" s="27"/>
    </row>
    <row r="916" spans="1:1" ht="12.75">
      <c r="A916" s="27"/>
    </row>
    <row r="917" spans="1:1" ht="12.75">
      <c r="A917" s="27"/>
    </row>
    <row r="918" spans="1:1" ht="12.75">
      <c r="A918" s="27"/>
    </row>
    <row r="919" spans="1:1" ht="12.75">
      <c r="A919" s="27"/>
    </row>
    <row r="920" spans="1:1" ht="12.75">
      <c r="A920" s="27"/>
    </row>
    <row r="921" spans="1:1" ht="12.75">
      <c r="A921" s="27"/>
    </row>
    <row r="922" spans="1:1" ht="12.75">
      <c r="A922" s="27"/>
    </row>
    <row r="923" spans="1:1" ht="12.75">
      <c r="A923" s="27"/>
    </row>
    <row r="924" spans="1:1" ht="12.75">
      <c r="A924" s="27"/>
    </row>
    <row r="925" spans="1:1" ht="12.75">
      <c r="A925" s="27"/>
    </row>
    <row r="926" spans="1:1" ht="12.75">
      <c r="A926" s="27"/>
    </row>
    <row r="927" spans="1:1" ht="12.75">
      <c r="A927" s="27"/>
    </row>
    <row r="928" spans="1:1" ht="12.75">
      <c r="A928" s="27"/>
    </row>
    <row r="929" spans="1:1" ht="12.75">
      <c r="A929" s="27"/>
    </row>
    <row r="930" spans="1:1" ht="12.75">
      <c r="A930" s="27"/>
    </row>
    <row r="931" spans="1:1" ht="12.75">
      <c r="A931" s="27"/>
    </row>
    <row r="932" spans="1:1" ht="12.75">
      <c r="A932" s="27"/>
    </row>
    <row r="933" spans="1:1" ht="12.75">
      <c r="A933" s="27"/>
    </row>
    <row r="934" spans="1:1" ht="12.75">
      <c r="A934" s="27"/>
    </row>
    <row r="935" spans="1:1" ht="12.75">
      <c r="A935" s="27"/>
    </row>
    <row r="936" spans="1:1" ht="12.75">
      <c r="A936" s="27"/>
    </row>
    <row r="937" spans="1:1" ht="12.75">
      <c r="A937" s="27"/>
    </row>
    <row r="938" spans="1:1" ht="12.75">
      <c r="A938" s="27"/>
    </row>
    <row r="939" spans="1:1" ht="12.75">
      <c r="A939" s="27"/>
    </row>
    <row r="940" spans="1:1" ht="12.75">
      <c r="A940" s="27"/>
    </row>
    <row r="941" spans="1:1" ht="12.75">
      <c r="A941" s="27"/>
    </row>
    <row r="942" spans="1:1" ht="12.75">
      <c r="A942" s="27"/>
    </row>
    <row r="943" spans="1:1" ht="12.75">
      <c r="A943" s="27"/>
    </row>
    <row r="944" spans="1:1" ht="12.75">
      <c r="A944" s="27"/>
    </row>
    <row r="945" spans="1:1" ht="12.75">
      <c r="A945" s="27"/>
    </row>
    <row r="946" spans="1:1" ht="12.75">
      <c r="A946" s="27"/>
    </row>
    <row r="947" spans="1:1" ht="12.75">
      <c r="A947" s="27"/>
    </row>
    <row r="948" spans="1:1" ht="12.75">
      <c r="A948" s="27"/>
    </row>
    <row r="949" spans="1:1" ht="12.75">
      <c r="A949" s="27"/>
    </row>
    <row r="950" spans="1:1" ht="12.75">
      <c r="A950" s="27"/>
    </row>
    <row r="951" spans="1:1" ht="12.75">
      <c r="A951" s="27"/>
    </row>
    <row r="952" spans="1:1" ht="12.75">
      <c r="A952" s="27"/>
    </row>
    <row r="953" spans="1:1" ht="12.75">
      <c r="A953" s="27"/>
    </row>
    <row r="954" spans="1:1" ht="12.75">
      <c r="A954" s="27"/>
    </row>
    <row r="955" spans="1:1" ht="12.75">
      <c r="A955" s="27"/>
    </row>
    <row r="956" spans="1:1" ht="12.75">
      <c r="A956" s="27"/>
    </row>
    <row r="957" spans="1:1" ht="12.75">
      <c r="A957" s="27"/>
    </row>
    <row r="958" spans="1:1" ht="12.75">
      <c r="A958" s="27"/>
    </row>
    <row r="959" spans="1:1" ht="12.75">
      <c r="A959" s="27"/>
    </row>
    <row r="960" spans="1:1" ht="12.75">
      <c r="A960" s="27"/>
    </row>
    <row r="961" spans="1:1" ht="12.75">
      <c r="A961" s="27"/>
    </row>
    <row r="962" spans="1:1" ht="12.75">
      <c r="A962" s="27"/>
    </row>
    <row r="963" spans="1:1" ht="12.75">
      <c r="A963" s="27"/>
    </row>
    <row r="964" spans="1:1" ht="12.75">
      <c r="A964" s="27"/>
    </row>
    <row r="965" spans="1:1" ht="12.75">
      <c r="A965" s="27"/>
    </row>
    <row r="966" spans="1:1" ht="12.75">
      <c r="A966" s="27"/>
    </row>
    <row r="967" spans="1:1" ht="12.75">
      <c r="A967" s="27"/>
    </row>
    <row r="968" spans="1:1" ht="12.75">
      <c r="A968" s="27"/>
    </row>
    <row r="969" spans="1:1" ht="12.75">
      <c r="A969" s="27"/>
    </row>
    <row r="970" spans="1:1" ht="12.75">
      <c r="A970" s="27"/>
    </row>
    <row r="971" spans="1:1" ht="12.75">
      <c r="A971" s="27"/>
    </row>
    <row r="972" spans="1:1" ht="12.75">
      <c r="A972" s="27"/>
    </row>
    <row r="973" spans="1:1" ht="12.75">
      <c r="A973" s="27"/>
    </row>
    <row r="974" spans="1:1" ht="12.75">
      <c r="A974" s="27"/>
    </row>
    <row r="975" spans="1:1" ht="12.75">
      <c r="A975" s="27"/>
    </row>
    <row r="976" spans="1:1" ht="12.75">
      <c r="A976" s="27"/>
    </row>
    <row r="977" spans="1:1" ht="12.75">
      <c r="A977" s="27"/>
    </row>
    <row r="978" spans="1:1" ht="12.75">
      <c r="A978" s="27"/>
    </row>
    <row r="979" spans="1:1" ht="12.75">
      <c r="A979" s="27"/>
    </row>
    <row r="980" spans="1:1" ht="12.75">
      <c r="A980" s="27"/>
    </row>
    <row r="981" spans="1:1" ht="12.75">
      <c r="A981" s="27"/>
    </row>
    <row r="982" spans="1:1" ht="12.75">
      <c r="A982" s="27"/>
    </row>
    <row r="983" spans="1:1" ht="12.75">
      <c r="A983" s="27"/>
    </row>
    <row r="984" spans="1:1" ht="12.75">
      <c r="A984" s="27"/>
    </row>
    <row r="985" spans="1:1" ht="12.75">
      <c r="A985" s="27"/>
    </row>
    <row r="986" spans="1:1" ht="12.75">
      <c r="A986" s="27"/>
    </row>
    <row r="987" spans="1:1" ht="12.75">
      <c r="A987" s="27"/>
    </row>
    <row r="988" spans="1:1" ht="12.75">
      <c r="A988" s="27"/>
    </row>
    <row r="989" spans="1:1" ht="12.75">
      <c r="A989" s="27"/>
    </row>
    <row r="990" spans="1:1" ht="12.75">
      <c r="A990" s="27"/>
    </row>
    <row r="991" spans="1:1" ht="12.75">
      <c r="A991" s="27"/>
    </row>
    <row r="992" spans="1:1" ht="12.75">
      <c r="A992" s="27"/>
    </row>
    <row r="993" spans="1:1" ht="12.75">
      <c r="A993" s="27"/>
    </row>
    <row r="994" spans="1:1" ht="12.75">
      <c r="A994" s="27"/>
    </row>
    <row r="995" spans="1:1" ht="12.75">
      <c r="A995" s="27"/>
    </row>
    <row r="996" spans="1:1" ht="12.75">
      <c r="A996" s="27"/>
    </row>
    <row r="997" spans="1:1" ht="12.75">
      <c r="A997" s="27"/>
    </row>
    <row r="998" spans="1:1" ht="12.75">
      <c r="A998" s="27"/>
    </row>
    <row r="999" spans="1:1" ht="12.75">
      <c r="A999" s="27"/>
    </row>
    <row r="1000" spans="1:1" ht="12.75">
      <c r="A1000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35"/>
  <sheetViews>
    <sheetView workbookViewId="0"/>
  </sheetViews>
  <sheetFormatPr defaultColWidth="12.59765625" defaultRowHeight="15.75" customHeight="1"/>
  <cols>
    <col min="1" max="1" width="26.265625" customWidth="1"/>
  </cols>
  <sheetData>
    <row r="1" spans="1:1" ht="15.75" customHeight="1">
      <c r="A1" s="30" t="s">
        <v>298</v>
      </c>
    </row>
    <row r="2" spans="1:1">
      <c r="A2" s="31">
        <v>45571</v>
      </c>
    </row>
    <row r="3" spans="1:1" ht="15.75" customHeight="1">
      <c r="A3" s="30" t="s">
        <v>299</v>
      </c>
    </row>
    <row r="4" spans="1:1">
      <c r="A4" s="5" t="s">
        <v>300</v>
      </c>
    </row>
    <row r="5" spans="1:1">
      <c r="A5" s="5" t="s">
        <v>301</v>
      </c>
    </row>
    <row r="6" spans="1:1">
      <c r="A6" s="5" t="s">
        <v>302</v>
      </c>
    </row>
    <row r="7" spans="1:1">
      <c r="A7" s="5" t="s">
        <v>303</v>
      </c>
    </row>
    <row r="9" spans="1:1" ht="15.75" customHeight="1">
      <c r="A9" s="30" t="s">
        <v>304</v>
      </c>
    </row>
    <row r="10" spans="1:1">
      <c r="A10" s="5" t="s">
        <v>303</v>
      </c>
    </row>
    <row r="11" spans="1:1">
      <c r="A11" s="31">
        <v>45578</v>
      </c>
    </row>
    <row r="12" spans="1:1" ht="15.75" customHeight="1">
      <c r="A12" s="30" t="s">
        <v>305</v>
      </c>
    </row>
    <row r="13" spans="1:1" ht="15.75" customHeight="1">
      <c r="A13" s="32" t="s">
        <v>306</v>
      </c>
    </row>
    <row r="14" spans="1:1" ht="15.75" customHeight="1">
      <c r="A14" s="32"/>
    </row>
    <row r="15" spans="1:1" ht="15.75" customHeight="1">
      <c r="A15" s="32" t="s">
        <v>307</v>
      </c>
    </row>
    <row r="16" spans="1:1" ht="15.75" customHeight="1">
      <c r="A16" s="32"/>
    </row>
    <row r="17" spans="1:1" ht="15.75" customHeight="1">
      <c r="A17" s="32" t="s">
        <v>308</v>
      </c>
    </row>
    <row r="18" spans="1:1" ht="15.75" customHeight="1">
      <c r="A18" s="32"/>
    </row>
    <row r="19" spans="1:1" ht="15.75" customHeight="1">
      <c r="A19" s="32" t="s">
        <v>309</v>
      </c>
    </row>
    <row r="20" spans="1:1" ht="15.75" customHeight="1">
      <c r="A20" s="33"/>
    </row>
    <row r="21" spans="1:1" ht="14.25">
      <c r="A21" s="32" t="s">
        <v>310</v>
      </c>
    </row>
    <row r="22" spans="1:1" ht="14.25">
      <c r="A22" s="32"/>
    </row>
    <row r="23" spans="1:1" ht="14.25">
      <c r="A23" s="32" t="s">
        <v>311</v>
      </c>
    </row>
    <row r="24" spans="1:1" ht="14.25">
      <c r="A24" s="32"/>
    </row>
    <row r="25" spans="1:1" ht="14.25">
      <c r="A25" s="32" t="s">
        <v>312</v>
      </c>
    </row>
    <row r="26" spans="1:1" ht="14.25">
      <c r="A26" s="32"/>
    </row>
    <row r="27" spans="1:1" ht="14.25">
      <c r="A27" s="32" t="s">
        <v>313</v>
      </c>
    </row>
    <row r="28" spans="1:1" ht="14.25">
      <c r="A28" s="32"/>
    </row>
    <row r="29" spans="1:1" ht="14.25">
      <c r="A29" s="32" t="s">
        <v>314</v>
      </c>
    </row>
    <row r="30" spans="1:1" ht="14.25">
      <c r="A30" s="32"/>
    </row>
    <row r="31" spans="1:1" ht="14.25">
      <c r="A31" s="32" t="s">
        <v>315</v>
      </c>
    </row>
    <row r="32" spans="1:1" ht="14.25">
      <c r="A32" s="32"/>
    </row>
    <row r="33" spans="1:1" ht="14.25">
      <c r="A33" s="32" t="s">
        <v>316</v>
      </c>
    </row>
    <row r="34" spans="1:1" ht="14.25">
      <c r="A34" s="34"/>
    </row>
    <row r="35" spans="1:1" ht="14.25">
      <c r="A35" s="34" t="s">
        <v>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"/>
  <sheetViews>
    <sheetView showGridLines="0" workbookViewId="0"/>
  </sheetViews>
  <sheetFormatPr defaultColWidth="12.59765625" defaultRowHeight="15.75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"/>
  <sheetViews>
    <sheetView workbookViewId="0"/>
  </sheetViews>
  <sheetFormatPr defaultColWidth="12.597656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SUNDAY ATTENDANCE</vt:lpstr>
      <vt:lpstr>GENERAL</vt:lpstr>
      <vt:lpstr>MUSIC</vt:lpstr>
      <vt:lpstr>USHERS</vt:lpstr>
      <vt:lpstr>MEDIA</vt:lpstr>
      <vt:lpstr>SECURITY</vt:lpstr>
      <vt:lpstr>PRAYER GROUP</vt:lpstr>
      <vt:lpstr>GODLY ACTION</vt:lpstr>
      <vt:lpstr>COUNSELLING </vt:lpstr>
      <vt:lpstr>SANCTUARY</vt:lpstr>
      <vt:lpstr>EWEKA</vt:lpstr>
      <vt:lpstr>ABSENT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Bartholomew Shekari</dc:creator>
  <cp:lastModifiedBy>Interior Duct Ltd</cp:lastModifiedBy>
  <dcterms:modified xsi:type="dcterms:W3CDTF">2026-02-14T19:51:51Z</dcterms:modified>
</cp:coreProperties>
</file>